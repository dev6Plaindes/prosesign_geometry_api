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ICIAL" sheetId="1" r:id="rId5"/>
    <sheet state="visible" name="PRIM" sheetId="2" r:id="rId6"/>
    <sheet state="visible" name="SEC" sheetId="3" r:id="rId7"/>
    <sheet state="visible" name="UNIFICADO" sheetId="4" r:id="rId8"/>
    <sheet state="visible" name="CALCULOS" sheetId="5" r:id="rId9"/>
    <sheet state="visible" name="COSTOS EXCEL" sheetId="6" r:id="rId10"/>
    <sheet state="visible" name="MEDIDAS" sheetId="7" r:id="rId11"/>
    <sheet state="visible" name="TECHO_MEDIDAS" sheetId="8" r:id="rId12"/>
    <sheet state="visible" name="DATA LIMA Y CALLAO" sheetId="9" r:id="rId13"/>
    <sheet state="visible" name="DATA COSTA (NO LIMA NI CALLAO)" sheetId="10" r:id="rId14"/>
    <sheet state="visible" name="DATA SELVA" sheetId="11" r:id="rId15"/>
    <sheet state="visible" name="DATA SIERRA" sheetId="12" r:id="rId16"/>
    <sheet state="visible" name="COSTOS INFRAESTRUCTURA" sheetId="13" r:id="rId17"/>
    <sheet state="visible" name="COSTO DE EQUIPAMIENTO" sheetId="14" r:id="rId18"/>
  </sheets>
  <definedNames>
    <definedName name="F.A.suelo">#REF!</definedName>
    <definedName name="DT_2">#REF!</definedName>
    <definedName name="SGFGFFSFS">#REF!</definedName>
    <definedName name="_f1set">#REF!</definedName>
    <definedName name="P3MC">#REF!</definedName>
    <definedName name="CAPU">#REF!</definedName>
    <definedName name="MANF14">#REF!</definedName>
    <definedName name="aAA">#REF!</definedName>
    <definedName name="_OBS5_p1_">#REF!</definedName>
    <definedName name="MANF21">#REF!</definedName>
    <definedName name="Inicio1">#REF!</definedName>
    <definedName name="INF.EESSESTRATEGICO">#REF!</definedName>
    <definedName name="CONDUC">#REF!</definedName>
    <definedName name="mezcladora">#REF!</definedName>
    <definedName name="_ENE05">#REF!</definedName>
    <definedName name="CARPINT">#REF!</definedName>
    <definedName name="_______f2ango02">#REF!</definedName>
    <definedName name="_DIS2">#REF!</definedName>
    <definedName name="_1er_año_ce_p2">#REF!</definedName>
    <definedName name="_TOP3d_c_p3">#REF!</definedName>
    <definedName name="_MED3m_c_p3">#REF!</definedName>
    <definedName name="___BUT38">#REF!</definedName>
    <definedName name="PROVINCIA_3">#REF!</definedName>
    <definedName name="q11f">#REF!</definedName>
    <definedName name="ppto">#REF!</definedName>
    <definedName name="DS_3">#REF!</definedName>
    <definedName name="___fac03">#REF!</definedName>
    <definedName name="_Key1">#REF!</definedName>
    <definedName name="B06____3">#REF!</definedName>
    <definedName name="PROVC">#REF!</definedName>
    <definedName name="_____S1">#REF!</definedName>
    <definedName name="_MET2">#REF!</definedName>
    <definedName name="__TP014">#REF!</definedName>
    <definedName name="vhp">#REF!</definedName>
    <definedName name="_________________A3">#REF!</definedName>
    <definedName name="TOTSHE4">#REF!</definedName>
    <definedName name="crog1">#REF!</definedName>
    <definedName name="Val_17">#REF!</definedName>
    <definedName name="lnlkken">#REF!</definedName>
    <definedName name="__AA68936">#REF!</definedName>
    <definedName name="_______________A3">#REF!</definedName>
    <definedName name="SHARED_FORMULA_24">#REF!</definedName>
    <definedName name="_65_0_0_F">#REF!</definedName>
    <definedName name="________">#REF!</definedName>
    <definedName name="XXXX">#REF!</definedName>
    <definedName name="tab_005r1">#REF!</definedName>
    <definedName name="MACROS">#REF!</definedName>
    <definedName name="__us96">#REF!</definedName>
    <definedName name="__TB1">#REF!</definedName>
    <definedName name="_______________________A2">#REF!</definedName>
    <definedName name="OIOC">#REF!</definedName>
    <definedName name="_________f2encode">#REF!</definedName>
    <definedName name="SBM_1">#REF!</definedName>
    <definedName name="SHARED_FORMULA_23">#REF!</definedName>
    <definedName name="Lx">#REF!</definedName>
    <definedName name="PSEC_2N">#REF!</definedName>
    <definedName name="pvc">#REF!</definedName>
    <definedName name="_______________f2enco01">#REF!</definedName>
    <definedName name="qsnu">#REF!</definedName>
    <definedName name="LZ">#REF!</definedName>
    <definedName name="_______________f3glob01">#REF!</definedName>
    <definedName name="fset01">#REF!</definedName>
    <definedName name="EQUIP">#REF!</definedName>
    <definedName name="PAT_2">#REF!</definedName>
    <definedName name="E_3_1S">#REF!</definedName>
    <definedName name="CostRRHH_pyto">#REF!</definedName>
    <definedName name="PTV_1N_M">#REF!</definedName>
    <definedName name="__________A5">#REF!</definedName>
    <definedName name="B06____2">#REF!</definedName>
    <definedName name="sema23">#REF!</definedName>
    <definedName name="NoPobre_p1">#REF!</definedName>
    <definedName name="HOLA">#REF!</definedName>
    <definedName name="duplicado">#REF!</definedName>
    <definedName name="_ENF2f_c_p2">#REF!</definedName>
    <definedName name="___f3glob">#REF!</definedName>
    <definedName name="gcon1_">#REF!</definedName>
    <definedName name="___f3ang01">#REF!</definedName>
    <definedName name="r_difmarg">#REF!</definedName>
    <definedName name="___Ind3">#REF!</definedName>
    <definedName name="Z_15">#REF!</definedName>
    <definedName name="usd">#REF!</definedName>
    <definedName name="_______________________A1">#REF!</definedName>
    <definedName name="Ing._olanido_Romero_Delgado_____________________________134">#REF!</definedName>
    <definedName name="r_venta">#REF!</definedName>
    <definedName name="IMPRESSION">#REF!</definedName>
    <definedName name="SAMUEL">#REF!</definedName>
    <definedName name="sheet">#REF!</definedName>
    <definedName name="CONC280">#REF!</definedName>
    <definedName name="DIRECREC2">#REF!</definedName>
    <definedName name="_fac02">#REF!</definedName>
    <definedName name="Maestro_1__Estructuras">#REF!</definedName>
    <definedName name="__Ind1">#REF!</definedName>
    <definedName name="Previo_4">#REF!</definedName>
    <definedName name="_fff7">#REF!</definedName>
    <definedName name="____TP006">#REF!</definedName>
    <definedName name="_________________________A4">#REF!</definedName>
    <definedName name="___f3angora">#REF!</definedName>
    <definedName name="Excel_BuiltIn_Print_Area_3">#REF!</definedName>
    <definedName name="DC_2">#REF!</definedName>
    <definedName name="VOL____0">#REF!</definedName>
    <definedName name="RIGUNA">#REF!</definedName>
    <definedName name="Alternativa">#REF!</definedName>
    <definedName name="qu">#REF!</definedName>
    <definedName name="E_4_1">#REF!</definedName>
    <definedName name="___f2ango02">#REF!</definedName>
    <definedName name="PDX">#REF!</definedName>
    <definedName name="_____f2cad">#REF!</definedName>
    <definedName name="Val_43">#REF!</definedName>
    <definedName name="SMM_1">#REF!</definedName>
    <definedName name="Val_20">#REF!</definedName>
    <definedName name="nacionalidad">#REF!</definedName>
    <definedName name="__TP004">#REF!</definedName>
    <definedName name="Año_0_1">#REF!</definedName>
    <definedName name="PAT1_Iq_c_p3">#REF!</definedName>
    <definedName name="Porc_Anticipo">#REF!</definedName>
    <definedName name="_______________f3glob">#REF!</definedName>
    <definedName name="_ENF2b_c_p2">#REF!</definedName>
    <definedName name="_____________A3">#REF!</definedName>
    <definedName name="Av_used">#REF!</definedName>
    <definedName name="___Var1">#REF!</definedName>
    <definedName name="AREA2124">#REF!</definedName>
    <definedName name="_fff30">#REF!</definedName>
    <definedName name="SUSTENTO">#REF!</definedName>
    <definedName name="_TOP3i_c_p2">#REF!</definedName>
    <definedName name="BASE1">#REF!</definedName>
    <definedName name="sema4">#REF!</definedName>
    <definedName name="Nn">#REF!</definedName>
    <definedName name="PSER_0P_M">#REF!</definedName>
    <definedName name="_Ind2">#REF!</definedName>
    <definedName name="NOMSET">#REF!</definedName>
    <definedName name="_UCI2_c_p3">#REF!</definedName>
    <definedName name="_f2cad">#REF!</definedName>
    <definedName name="qsn">#REF!</definedName>
    <definedName name="SHEET16">#REF!</definedName>
    <definedName name="ACT">#REF!</definedName>
    <definedName name="HHC">#REF!</definedName>
    <definedName name="anterior_4">#REF!</definedName>
    <definedName name="NoAseg_NoPobre_p3">#REF!</definedName>
    <definedName name="Atenciones_3">#REF!</definedName>
    <definedName name="vigas">#REF!</definedName>
    <definedName name="___f2enco01">#REF!</definedName>
    <definedName name="q13f">#REF!</definedName>
    <definedName name="_TOP3e_c_p3">#REF!</definedName>
    <definedName name="OUT">#REF!</definedName>
    <definedName name="s_1">#REF!</definedName>
    <definedName name="o">#REF!</definedName>
    <definedName name="___ro1">#REF!</definedName>
    <definedName name="Val_08">#REF!</definedName>
    <definedName name="sema24">#REF!</definedName>
    <definedName name="_fff56">#REF!</definedName>
    <definedName name="VOL__TOT_">#REF!</definedName>
    <definedName name="________A5">#REF!</definedName>
    <definedName name="sss___1">#REF!</definedName>
    <definedName name="Planilla_16">#REF!</definedName>
    <definedName name="_EMG1d_c_p3">#REF!</definedName>
    <definedName name="_MED2d_c_p2">#REF!</definedName>
    <definedName name="_MED4_c_p3">#REF!</definedName>
    <definedName name="P1_i_gestantes_P2">#REF!</definedName>
    <definedName name="_A4">#REF!</definedName>
    <definedName name="data5">#REF!</definedName>
    <definedName name="_TOR10">#REF!</definedName>
    <definedName name="OEP">#REF!</definedName>
    <definedName name="TOTSHE1">#REF!</definedName>
    <definedName name="PA2_3NT">#REF!</definedName>
    <definedName name="_TB4">#REF!</definedName>
    <definedName name="Página1">#REF!</definedName>
    <definedName name="DISRES">#REF!</definedName>
    <definedName name="_TP003">#REF!</definedName>
    <definedName name="PESO">#REF!</definedName>
    <definedName name="DRA_PIURA___5">#REF!</definedName>
    <definedName name="SHARED_FORMULA_28">#REF!</definedName>
    <definedName name="_TP001">#REF!</definedName>
    <definedName name="SHARED_FORMULA_6">#REF!</definedName>
    <definedName name="vehic">#REF!</definedName>
    <definedName name="PS1_1NT_M">#REF!</definedName>
    <definedName name="Planilla_23">#REF!</definedName>
    <definedName name="__mop1">#REF!</definedName>
    <definedName name="vibradora">#REF!</definedName>
    <definedName name="___TP007">#REF!</definedName>
    <definedName name="N">#REF!</definedName>
    <definedName name="sema50">#REF!</definedName>
    <definedName name="___asp2">#REF!</definedName>
    <definedName name="Alizadora">#REF!</definedName>
    <definedName name="sema48">#REF!</definedName>
    <definedName name="_______TP015">#REF!</definedName>
    <definedName name="SHARED_FORMULA_7">#REF!</definedName>
    <definedName name="PA1_1NT_M">#REF!</definedName>
    <definedName name="ro">#REF!</definedName>
    <definedName name="_________f3ang01">#REF!</definedName>
    <definedName name="MINSA_Aseg_NoPobre_p2">#REF!</definedName>
    <definedName name="BuiltIn_Print_Area___0___1">#REF!</definedName>
    <definedName name="CDATE">#REF!</definedName>
    <definedName name="TOTSHE21">#REF!</definedName>
    <definedName name="EO">#REF!</definedName>
    <definedName name="RECPUB">#REF!</definedName>
    <definedName name="_MED3h_ratio_p3">#REF!</definedName>
    <definedName name="MANF11">#REF!</definedName>
    <definedName name="_EMG0_c_p3">#REF!</definedName>
    <definedName name="_f2enco01">#REF!</definedName>
    <definedName name="CRIT">#REF!</definedName>
    <definedName name="SDSDSD">#REF!</definedName>
    <definedName name="NoAseg_Pobre_p2">#REF!</definedName>
    <definedName name="ECO2a_egresos_c_p3">#REF!</definedName>
    <definedName name="OEL">#REF!</definedName>
    <definedName name="ABRAZ">#REF!</definedName>
    <definedName name="vhd">#REF!</definedName>
    <definedName name="_______________n2">#REF!</definedName>
    <definedName name="__________S1">#REF!</definedName>
    <definedName name="aaaaaaaaaaaaa">#REF!</definedName>
    <definedName name="PA1_3">#REF!</definedName>
    <definedName name="_____________f2angora">#REF!</definedName>
    <definedName name="A_1___3">#REF!</definedName>
    <definedName name="___TP002">#REF!</definedName>
    <definedName name="_____________________n2">#REF!</definedName>
    <definedName name="DONAC">#REF!</definedName>
    <definedName name="PA2_0_M">#REF!</definedName>
    <definedName name="EF">#REF!</definedName>
    <definedName name="_______________f2encode">#REF!</definedName>
    <definedName name="afirmado">#REF!</definedName>
    <definedName name="MANF24">#REF!</definedName>
    <definedName name="TOTSHE16">#REF!</definedName>
    <definedName name="Total_Scheduled_Jobhours">#REF!</definedName>
    <definedName name="_MED3k_ratio_p3">#REF!</definedName>
    <definedName name="facencode2">#REF!</definedName>
    <definedName name="_fac03">#REF!</definedName>
    <definedName name="A_4">#REF!</definedName>
    <definedName name="_EMG4_c_p3">#REF!</definedName>
    <definedName name="TipoCotiz">#REF!</definedName>
    <definedName name="UBICA_ACTUAL">#REF!</definedName>
    <definedName name="_EMG2b_c_p3">#REF!</definedName>
    <definedName name="Maestro_Mayor_Estructuras">#REF!</definedName>
    <definedName name="___________f2set">#REF!</definedName>
    <definedName name="sheet6">#REF!</definedName>
    <definedName name="B05____2">#REF!</definedName>
    <definedName name="op">#REF!</definedName>
    <definedName name="Tac_Cqx_c_p3">#REF!</definedName>
    <definedName name="B03____1">#REF!</definedName>
    <definedName name="MANTEN">#REF!</definedName>
    <definedName name="_iii5">#REF!</definedName>
    <definedName name="B_1___4">#REF!</definedName>
    <definedName name="PLANILLA___SEMANA_12">#REF!</definedName>
    <definedName name="______A4">#REF!</definedName>
    <definedName name="___pu11">#REF!</definedName>
    <definedName name="FECHA_VALORIZACION">#REF!</definedName>
    <definedName name="ucb">#REF!</definedName>
    <definedName name="__TP002">#REF!</definedName>
    <definedName name="_______fac02">#REF!</definedName>
    <definedName name="_EMG1g_c_p3">#REF!</definedName>
    <definedName name="NUMLP">#REF!</definedName>
    <definedName name="RGRL">#REF!</definedName>
    <definedName name="MULA">#REF!</definedName>
    <definedName name="kbal_">#REF!</definedName>
    <definedName name="___ENE05">#REF!</definedName>
    <definedName name="_fff21">#REF!</definedName>
    <definedName name="PTV_0_M">#REF!</definedName>
    <definedName name="Val_01">#REF!</definedName>
    <definedName name="Aseg_Pobre_p2">#REF!</definedName>
    <definedName name="xa">#REF!</definedName>
    <definedName name="Costos_de_expropiacion">#REF!</definedName>
    <definedName name="q_9">#REF!</definedName>
    <definedName name="Val_55">#REF!</definedName>
    <definedName name="sema26">#REF!</definedName>
    <definedName name="q10f">#REF!</definedName>
    <definedName name="_OBS4_p1_">#REF!</definedName>
    <definedName name="_F2F9">#REF!</definedName>
    <definedName name="Formato17B2">#REF!</definedName>
    <definedName name="cañ">#REF!</definedName>
    <definedName name="rrr">#REF!</definedName>
    <definedName name="_______________f2ango02">#REF!</definedName>
    <definedName name="C_1___0">#REF!</definedName>
    <definedName name="_fff38">#REF!</definedName>
    <definedName name="_ENF2d_c_p2">#REF!</definedName>
    <definedName name="MINSA_Aseg_NoPobre_p3">#REF!</definedName>
    <definedName name="Sol">#REF!</definedName>
    <definedName name="Area_Impresión">#REF!</definedName>
    <definedName name="PROY">#REF!</definedName>
    <definedName name="Kh_04a">#REF!</definedName>
    <definedName name="_INTXX_CE_p2">#REF!</definedName>
    <definedName name="Dact">#REF!</definedName>
    <definedName name="q_20">#REF!</definedName>
    <definedName name="_INTXX_EMG_p3">#REF!</definedName>
    <definedName name="___________f3glob01">#REF!</definedName>
    <definedName name="mop">#REF!</definedName>
    <definedName name="fobb">#REF!</definedName>
    <definedName name="MINSA_Aseg_Pobre_p3">#REF!</definedName>
    <definedName name="DH">#REF!</definedName>
    <definedName name="Var_pedz">#REF!</definedName>
    <definedName name="RF2MO">#REF!</definedName>
    <definedName name="_______TP011">#REF!</definedName>
    <definedName name="nnnnnn">#REF!</definedName>
    <definedName name="dwewe">#REF!</definedName>
    <definedName name="_TOP3f_c_p3">#REF!</definedName>
    <definedName name="_iii62">#REF!</definedName>
    <definedName name="SMM_1N">#REF!</definedName>
    <definedName name="q12f">#REF!</definedName>
    <definedName name="corte">#REF!</definedName>
    <definedName name="N2_">#REF!</definedName>
    <definedName name="Cambio">#REF!</definedName>
    <definedName name="A_14">#REF!</definedName>
    <definedName name="RIGDOS">#REF!</definedName>
    <definedName name="B1_Dpto_1_1">#REF!</definedName>
    <definedName name="B04_">#REF!</definedName>
    <definedName name="sema42">#REF!</definedName>
    <definedName name="account">#REF!</definedName>
    <definedName name="Planilla_32">#REF!</definedName>
    <definedName name="rEstimator">#REF!</definedName>
    <definedName name="gamma_04">#REF!</definedName>
    <definedName name="Relpar">#REF!</definedName>
    <definedName name="MIT">#REF!</definedName>
    <definedName name="fitting">#REF!</definedName>
    <definedName name="_MED3i_c_p3">#REF!</definedName>
    <definedName name="XXX">#REF!</definedName>
    <definedName name="Excel_BuiltIn__FilterDatabase_11">#REF!</definedName>
    <definedName name="PLANILLA___SEMANA_4">#REF!</definedName>
    <definedName name="_______________________n1">#REF!</definedName>
    <definedName name="FGS">#REF!</definedName>
    <definedName name="_fff49">#REF!</definedName>
    <definedName name="DSD">#REF!</definedName>
    <definedName name="PS1_0">#REF!</definedName>
    <definedName name="ANEXO3A2">#REF!</definedName>
    <definedName name="__pu4">#REF!</definedName>
    <definedName name="Meact">#REF!</definedName>
    <definedName name="_ALT1">#REF!</definedName>
    <definedName name="_EMG1f_c_p3">#REF!</definedName>
    <definedName name="_TOP3a_c_p3">#REF!</definedName>
    <definedName name="tel">#REF!</definedName>
    <definedName name="Choca">#REF!</definedName>
    <definedName name="DEPA">#REF!</definedName>
    <definedName name="__TOR14">#REF!</definedName>
    <definedName name="SHEET5">#REF!</definedName>
    <definedName name="SUELOS">#REF!</definedName>
    <definedName name="_01_Tribunas_y_Losas">#REF!</definedName>
    <definedName name="_MED3m_ratio_p3">#REF!</definedName>
    <definedName name="aef">#REF!</definedName>
    <definedName name="ww">#REF!</definedName>
    <definedName name="_TEP1">#REF!</definedName>
    <definedName name="SHEET23">#REF!</definedName>
    <definedName name="___________f2global">#REF!</definedName>
    <definedName name="_TOP3j_c_p3">#REF!</definedName>
    <definedName name="PA2_0">#REF!</definedName>
    <definedName name="sema27">#REF!</definedName>
    <definedName name="cemento1">#REF!</definedName>
    <definedName name="D___4">#REF!</definedName>
    <definedName name="Planilla_25">#REF!</definedName>
    <definedName name="__xlnm._FilterDatabase_1_1">#REF!</definedName>
    <definedName name="dun">#REF!</definedName>
    <definedName name="Fy">#REF!</definedName>
    <definedName name="pg_actual">#REF!</definedName>
    <definedName name="X">#REF!</definedName>
    <definedName name="_______TP010">#REF!</definedName>
    <definedName name="_MED3R_c_p3">#REF!</definedName>
    <definedName name="DAT">#REF!</definedName>
    <definedName name="__TR4">#REF!</definedName>
    <definedName name="Mepas">#REF!</definedName>
    <definedName name="Planilla_36">#REF!</definedName>
    <definedName name="P1_i_femenina_P1">#REF!</definedName>
    <definedName name="MDM">#REF!</definedName>
    <definedName name="Forma_Pago">#REF!</definedName>
    <definedName name="SHARED_FORMULA_32">#REF!</definedName>
    <definedName name="ocupación_antes_del_penal">#REF!</definedName>
    <definedName name="ACOM_SC">#REF!</definedName>
    <definedName name="fact">#REF!</definedName>
    <definedName name="SMM_2P">#REF!</definedName>
    <definedName name="C_1___2">#REF!</definedName>
    <definedName name="SHARED_FORMULA_19">#REF!</definedName>
    <definedName name="B03____4">#REF!</definedName>
    <definedName name="_fff26">#REF!</definedName>
    <definedName name="Val_31">#REF!</definedName>
    <definedName name="Val_07">#REF!</definedName>
    <definedName name="hz_">#REF!</definedName>
    <definedName name="Comit">#REF!</definedName>
    <definedName name="_______________f2set01">#REF!</definedName>
    <definedName name="PR3_1N">#REF!</definedName>
    <definedName name="SHEET9">#REF!</definedName>
    <definedName name="VENTANAS">#REF!</definedName>
    <definedName name="_____________f3glob">#REF!</definedName>
    <definedName name="MDC">#REF!</definedName>
    <definedName name="Val_03">#REF!</definedName>
    <definedName name="EF_T1">#REF!</definedName>
    <definedName name="PAAT_1_M">#REF!</definedName>
    <definedName name="___pu2">#REF!</definedName>
    <definedName name="___pu8">#REF!</definedName>
    <definedName name="XXXXXXXX">#REF!</definedName>
    <definedName name="AA503104A">#REF!</definedName>
    <definedName name="______A1">#REF!</definedName>
    <definedName name="_____________A5">#REF!</definedName>
    <definedName name="CABEZA">#REF!</definedName>
    <definedName name="_f1cad">#REF!</definedName>
    <definedName name="Monto_Anticipo">#REF!</definedName>
    <definedName name="_MED3Q_c_p3">#REF!</definedName>
    <definedName name="_______________A5">#REF!</definedName>
    <definedName name="_MED3d_c_p3">#REF!</definedName>
    <definedName name="_58_0_0_F">#REF!</definedName>
    <definedName name="__________A2">#REF!</definedName>
    <definedName name="dtot">#REF!</definedName>
    <definedName name="Maestro_Terminación">#REF!</definedName>
    <definedName name="_ENF2c_ratio_p2">#REF!</definedName>
    <definedName name="COMAS">#REF!</definedName>
    <definedName name="lfz">#REF!</definedName>
    <definedName name="_________A5">#REF!</definedName>
    <definedName name="PA2_1NT_M">#REF!</definedName>
    <definedName name="_f2encode">#REF!</definedName>
    <definedName name="___f2cad">#REF!</definedName>
    <definedName name="facencode">#REF!</definedName>
    <definedName name="Planilla_45">#REF!</definedName>
    <definedName name="CONCQTY">#REF!</definedName>
    <definedName name="B07____2">#REF!</definedName>
    <definedName name="Var_inverA">#REF!</definedName>
    <definedName name="__AA90088">#REF!</definedName>
    <definedName name="__pu8">#REF!</definedName>
    <definedName name="___f3ang02">#REF!</definedName>
    <definedName name="prov">#REF!</definedName>
    <definedName name="C_2___4">#REF!</definedName>
    <definedName name="ccc___1">#REF!</definedName>
    <definedName name="_UCI6_c_p3">#REF!</definedName>
    <definedName name="PROVINCIA_5">#REF!</definedName>
    <definedName name="Ayudante_Obras_Civiles">#REF!</definedName>
    <definedName name="PROVINCIA_2">#REF!</definedName>
    <definedName name="_f2set01">#REF!</definedName>
    <definedName name="ubi">#REF!</definedName>
    <definedName name="_1er_año_ce_p3">#REF!</definedName>
    <definedName name="___fac02">#REF!</definedName>
    <definedName name="B01____3">#REF!</definedName>
    <definedName name="Dt___2">#REF!</definedName>
    <definedName name="Espera">#REF!</definedName>
    <definedName name="selectipo">#REF!</definedName>
    <definedName name="Val_53">#REF!</definedName>
    <definedName name="DATOS">#REF!</definedName>
    <definedName name="PAT_2M">#REF!</definedName>
    <definedName name="sema13">#REF!</definedName>
    <definedName name="wal">#REF!</definedName>
    <definedName name="Area_piso1">#REF!</definedName>
    <definedName name="_f2angora">#REF!</definedName>
    <definedName name="SBM">#REF!</definedName>
    <definedName name="SHEET13">#REF!</definedName>
    <definedName name="s_2">#REF!</definedName>
    <definedName name="PA3_3">#REF!</definedName>
    <definedName name="_iii77">#REF!</definedName>
    <definedName name="eefftri_2">#REF!</definedName>
    <definedName name="CHVF2">#REF!</definedName>
    <definedName name="AREANO2">#REF!</definedName>
    <definedName name="_______f2angora">#REF!</definedName>
    <definedName name="Valor_no_Afect.">#REF!</definedName>
    <definedName name="Elementos_de_Seguridad">#REF!</definedName>
    <definedName name="_MED2e_c_p2">#REF!</definedName>
    <definedName name="__n1">#REF!</definedName>
    <definedName name="uint">#REF!</definedName>
    <definedName name="__Ind4">#REF!</definedName>
    <definedName name="Planilla_43">#REF!</definedName>
    <definedName name="planilla_04">#REF!</definedName>
    <definedName name="SRX2b_c_p3">#REF!</definedName>
    <definedName name="PA3_3NT">#REF!</definedName>
    <definedName name="A_IMPRESIÁN_IM">#REF!</definedName>
    <definedName name="Df_">#REF!</definedName>
    <definedName name="TOTSHE9">#REF!</definedName>
    <definedName name="B_1___0">#REF!</definedName>
    <definedName name="RV_A">#REF!</definedName>
    <definedName name="CANT____1">#REF!</definedName>
    <definedName name="nkl">#REF!</definedName>
    <definedName name="Formato17A2">#REF!</definedName>
    <definedName name="Muz_pedes">#REF!</definedName>
    <definedName name="DPTOS.">#REF!</definedName>
    <definedName name="PR3_3N">#REF!</definedName>
    <definedName name="DS_2">#REF!</definedName>
    <definedName name="Tension_Ratio">#REF!</definedName>
    <definedName name="admin">#REF!</definedName>
    <definedName name="CCMEC">#REF!</definedName>
    <definedName name="sema25">#REF!</definedName>
    <definedName name="SHEET2">#REF!</definedName>
    <definedName name="__ACC53">#REF!</definedName>
    <definedName name="_ASP3">#REF!</definedName>
    <definedName name="PRINT_TITLES_MI">#REF!</definedName>
    <definedName name="C_1">#REF!</definedName>
    <definedName name="Planilla_14">#REF!</definedName>
    <definedName name="A_20">#REF!</definedName>
    <definedName name="EFA_T1">#REF!</definedName>
    <definedName name="_f3glob">#REF!</definedName>
    <definedName name="MES_VALORIZACION">#REF!</definedName>
    <definedName name="costri_3">#REF!</definedName>
    <definedName name="___pu1">#REF!</definedName>
    <definedName name="M_15">#REF!</definedName>
    <definedName name="B02____2">#REF!</definedName>
    <definedName name="cpp">#REF!</definedName>
    <definedName name="Cliente">#REF!</definedName>
    <definedName name="___TP010">#REF!</definedName>
    <definedName name="MJK">#REF!</definedName>
    <definedName name="rf">#REF!</definedName>
    <definedName name="_________________S1">#REF!</definedName>
    <definedName name="WPCN8">#REF!</definedName>
    <definedName name="MET">#REF!</definedName>
    <definedName name="Cond3">#REF!</definedName>
    <definedName name="B05____1">#REF!</definedName>
    <definedName name="_____________________A2">#REF!</definedName>
    <definedName name="sikapiso40">#REF!</definedName>
    <definedName name="___________f2ango01">#REF!</definedName>
    <definedName name="_____________f1set">#REF!</definedName>
    <definedName name="DNTI">#REF!</definedName>
    <definedName name="PTV_1NT_M">#REF!</definedName>
    <definedName name="_________________________A2">#REF!</definedName>
    <definedName name="_____f2encode">#REF!</definedName>
    <definedName name="Excel_BuiltIn_Database">#REF!</definedName>
    <definedName name="__TP007">#REF!</definedName>
    <definedName name="vmoneda">#REF!</definedName>
    <definedName name="___ACC53">#REF!</definedName>
    <definedName name="SHARED_FORMULA_3">#REF!</definedName>
    <definedName name="___f3set">#REF!</definedName>
    <definedName name="MDDH">#REF!</definedName>
    <definedName name="__dbs1">#REF!</definedName>
    <definedName name="CNI">#REF!</definedName>
    <definedName name="Val_13">#REF!</definedName>
    <definedName name="Ay">#REF!</definedName>
    <definedName name="PAT1_ce_eme_c_p3">#REF!</definedName>
    <definedName name="As_biax">#REF!</definedName>
    <definedName name="DRA_PIURA___4">#REF!</definedName>
    <definedName name="costri_2">#REF!</definedName>
    <definedName name="_________________________A1">#REF!</definedName>
    <definedName name="XPRINT4">#REF!</definedName>
    <definedName name="Val_48">#REF!</definedName>
    <definedName name="anterior_2">#REF!</definedName>
    <definedName name="C_1___4">#REF!</definedName>
    <definedName name="____TP011">#REF!</definedName>
    <definedName name="PrimerItem">#REF!</definedName>
    <definedName name="bitumen">#REF!</definedName>
    <definedName name="_F43_">#REF!</definedName>
    <definedName name="facangora">#REF!</definedName>
    <definedName name="PS1_3N">#REF!</definedName>
    <definedName name="sema22">#REF!</definedName>
    <definedName name="MNI">#REF!</definedName>
    <definedName name="HEM1_c_p3">#REF!</definedName>
    <definedName name="Estac_aéreo1">#REF!</definedName>
    <definedName name="E_3">#REF!</definedName>
    <definedName name="Descuento_Especial_Anticipo">#REF!</definedName>
    <definedName name="_______________n1">#REF!</definedName>
    <definedName name="Previo_8">#REF!</definedName>
    <definedName name="Planilla_15">#REF!</definedName>
    <definedName name="Año_0">#REF!</definedName>
    <definedName name="met_val_obra">#REF!</definedName>
    <definedName name="FAR2_emer_c_p3">#REF!</definedName>
    <definedName name="_______f3ang01">#REF!</definedName>
    <definedName name="brecha">#REF!</definedName>
    <definedName name="Mufx">#REF!</definedName>
    <definedName name="ALCANTARILLAS">#REF!</definedName>
    <definedName name="E_5_1">#REF!</definedName>
    <definedName name="Tac_hosp_c_p3">#REF!</definedName>
    <definedName name="___f2set">#REF!</definedName>
    <definedName name="Val_27">#REF!</definedName>
    <definedName name="_OBS3_p1_">#REF!</definedName>
    <definedName name="Cond1">#REF!</definedName>
    <definedName name="SHARED_FORMULA_9">#REF!</definedName>
    <definedName name="Espinoza__Jesús">#REF!</definedName>
    <definedName name="ñññññ">#REF!</definedName>
    <definedName name="PSER_0P">#REF!</definedName>
    <definedName name="_______________f1cad">#REF!</definedName>
    <definedName name="AFI">#REF!</definedName>
    <definedName name="___f2enco02">#REF!</definedName>
    <definedName name="surflex">#REF!</definedName>
    <definedName name="do">#REF!</definedName>
    <definedName name="_______f2set01">#REF!</definedName>
    <definedName name="B_2___2">#REF!</definedName>
    <definedName name="qmax">#REF!</definedName>
    <definedName name="E_2S">#REF!</definedName>
    <definedName name="ccc___0">#REF!</definedName>
    <definedName name="Zprecor">#REF!</definedName>
    <definedName name="CONC210">#REF!</definedName>
    <definedName name="CO">#REF!</definedName>
    <definedName name="PAT_2_M">#REF!</definedName>
    <definedName name="_______________A4">#REF!</definedName>
    <definedName name="sema41">#REF!</definedName>
    <definedName name="QTIES">#REF!</definedName>
    <definedName name="_____________A1">#REF!</definedName>
    <definedName name="ajap">#REF!</definedName>
    <definedName name="___________f3enco02">#REF!</definedName>
    <definedName name="planilla_05">#REF!</definedName>
    <definedName name="PS1_1N_T">#REF!</definedName>
    <definedName name="_________A1">#REF!</definedName>
    <definedName name="SEGUNDA">#REF!</definedName>
    <definedName name="B05____4">#REF!</definedName>
    <definedName name="QTY">#REF!</definedName>
    <definedName name="_______________________A4">#REF!</definedName>
    <definedName name="A_0">#REF!</definedName>
    <definedName name="Fecha1">#REF!</definedName>
    <definedName name="_______n2">#REF!</definedName>
    <definedName name="Costos">#REF!</definedName>
    <definedName name="___________f2ango02">#REF!</definedName>
    <definedName name="_fff77">#REF!</definedName>
    <definedName name="__pu5">#REF!</definedName>
    <definedName name="PA2_2">#REF!</definedName>
    <definedName name="INDICADOR">#REF!</definedName>
    <definedName name="_MED3e_c_p3">#REF!</definedName>
    <definedName name="A_21">#REF!</definedName>
    <definedName name="NoAseg_Pobre_p1">#REF!</definedName>
    <definedName name="PLANILLA___SEMANA_8">#REF!</definedName>
    <definedName name="MANF70">#REF!</definedName>
    <definedName name="_MED3T_ratio_p3">#REF!</definedName>
    <definedName name="__Ind2">#REF!</definedName>
    <definedName name="_MED3o_ratio_p3">#REF!</definedName>
    <definedName name="___pu12">#REF!</definedName>
    <definedName name="q_10">#REF!</definedName>
    <definedName name="Año0">#REF!</definedName>
    <definedName name="SOLES">#REF!</definedName>
    <definedName name="MONTAJE">#REF!</definedName>
    <definedName name="FM">#REF!</definedName>
    <definedName name="MARZO">#REF!</definedName>
    <definedName name="PSEC_0P_M">#REF!</definedName>
    <definedName name="PSEC_1NP">#REF!</definedName>
    <definedName name="MT">#REF!</definedName>
    <definedName name="Vu">#REF!</definedName>
    <definedName name="TIPCAMB">#REF!</definedName>
    <definedName name="ss___1">#REF!</definedName>
    <definedName name="B03_">#REF!</definedName>
    <definedName name="SHEET1">#REF!</definedName>
    <definedName name="PR3_2N">#REF!</definedName>
    <definedName name="Area_mezzanine">#REF!</definedName>
    <definedName name="A_O">#REF!</definedName>
    <definedName name="SQ">#REF!</definedName>
    <definedName name="___TP004">#REF!</definedName>
    <definedName name="PTH_2N">#REF!</definedName>
    <definedName name="bz_col">#REF!</definedName>
    <definedName name="DNT">#REF!</definedName>
    <definedName name="__n2">#REF!</definedName>
    <definedName name="A_2___4">#REF!</definedName>
    <definedName name="____Var1">#REF!</definedName>
    <definedName name="PSEC_3P">#REF!</definedName>
    <definedName name="PAT">#REF!</definedName>
    <definedName name="RIGUNAMED">#REF!</definedName>
    <definedName name="A_5">#REF!</definedName>
    <definedName name="sema10">#REF!</definedName>
    <definedName name="CONSOLIDADOF3">#REF!</definedName>
    <definedName name="sema9">#REF!</definedName>
    <definedName name="_ENF2g_p2">#REF!</definedName>
    <definedName name="Tperdido">#REF!</definedName>
    <definedName name="________n1">#REF!</definedName>
    <definedName name="____TP010">#REF!</definedName>
    <definedName name="_TOR14">#REF!</definedName>
    <definedName name="cprecor">#REF!</definedName>
    <definedName name="PSEC_1N_M">#REF!</definedName>
    <definedName name="_INT7_p2">#REF!</definedName>
    <definedName name="sjc">#REF!</definedName>
    <definedName name="___________f1set">#REF!</definedName>
    <definedName name="SC">#REF!</definedName>
    <definedName name="facglobal">#REF!</definedName>
    <definedName name="Teodolito">#REF!</definedName>
    <definedName name="Año_0_4">#REF!</definedName>
    <definedName name="__A4">#REF!</definedName>
    <definedName name="XPRINT2">#REF!</definedName>
    <definedName name="_pu11">#REF!</definedName>
    <definedName name="Pobre_p2">#REF!</definedName>
    <definedName name="MANF15">#REF!</definedName>
    <definedName name="PS1_1N_M">#REF!</definedName>
    <definedName name="___________f2encode">#REF!</definedName>
    <definedName name="Columnas_tienda">#REF!</definedName>
    <definedName name="Base_datos_IM">#REF!</definedName>
    <definedName name="sema8">#REF!</definedName>
    <definedName name="_________________n2">#REF!</definedName>
    <definedName name="_iii65">#REF!</definedName>
    <definedName name="PLANILLA___SEMANA_9">#REF!</definedName>
    <definedName name="Mux_ped">#REF!</definedName>
    <definedName name="_f2enco02">#REF!</definedName>
    <definedName name="_ENF2h_c_p2">#REF!</definedName>
    <definedName name="C_1___1">#REF!</definedName>
    <definedName name="PR3_3NT">#REF!</definedName>
    <definedName name="NEW">#REF!</definedName>
    <definedName name="_MED3f_ratio_p3">#REF!</definedName>
    <definedName name="PA2_2N">#REF!</definedName>
    <definedName name="_________________________A3">#REF!</definedName>
    <definedName name="_INT7_p2_c2">#REF!</definedName>
    <definedName name="_EMG1e_c_p3">#REF!</definedName>
    <definedName name="Formato17B">#REF!</definedName>
    <definedName name="_________f2cad">#REF!</definedName>
    <definedName name="Val_29">#REF!</definedName>
    <definedName name="TRAN">#REF!</definedName>
    <definedName name="TC">#REF!</definedName>
    <definedName name="_TOP3c_c_p3">#REF!</definedName>
    <definedName name="PA3_2">#REF!</definedName>
    <definedName name="ESPEJOS">#REF!</definedName>
    <definedName name="PR3_0">#REF!</definedName>
    <definedName name="___Ind4">#REF!</definedName>
    <definedName name="cfc100t1">#REF!</definedName>
    <definedName name="Val_23">#REF!</definedName>
    <definedName name="ANCHO2">#REF!</definedName>
    <definedName name="__________A1">#REF!</definedName>
    <definedName name="SHARED_FORMULA_0">#REF!</definedName>
    <definedName name="Val_45">#REF!</definedName>
    <definedName name="NUMERO">#REF!</definedName>
    <definedName name="xc">#REF!</definedName>
    <definedName name="__________n2">#REF!</definedName>
    <definedName name="A_2___2">#REF!</definedName>
    <definedName name="fango01">#REF!</definedName>
    <definedName name="TS_2">#REF!</definedName>
    <definedName name="PRIMO">#REF!</definedName>
    <definedName name="PICO">#REF!</definedName>
    <definedName name="aulas">#REF!</definedName>
    <definedName name="_TP013">#REF!</definedName>
    <definedName name="FAR2_hosp_c_p3">#REF!</definedName>
    <definedName name="__________n1">#REF!</definedName>
    <definedName name="_TOP3n_c_p2">#REF!</definedName>
    <definedName name="Basededatos2">#REF!</definedName>
    <definedName name="_______________f3encode">#REF!</definedName>
    <definedName name="AÑO_5">#REF!</definedName>
    <definedName name="DC">#REF!</definedName>
    <definedName name="AA5051901D">#REF!</definedName>
    <definedName name="PAST_M">#REF!</definedName>
    <definedName name="Sect9.2_or_AppC">#REF!</definedName>
    <definedName name="_____________f2ango02">#REF!</definedName>
    <definedName name="TOTSHE23">#REF!</definedName>
    <definedName name="SMM_2">#REF!</definedName>
    <definedName name="__ALT1">#REF!</definedName>
    <definedName name="EXT_AR">#REF!</definedName>
    <definedName name="RIGTRE">#REF!</definedName>
    <definedName name="say">#REF!</definedName>
    <definedName name="disco">#REF!</definedName>
    <definedName name="_A5">#REF!</definedName>
    <definedName name="_____________n2">#REF!</definedName>
    <definedName name="hped1_">#REF!</definedName>
    <definedName name="OLE_LINK1">#REF!</definedName>
    <definedName name="_TP011">#REF!</definedName>
    <definedName name="TOTSHE10">#REF!</definedName>
    <definedName name="SHARED_FORMULA_1">#REF!</definedName>
    <definedName name="__TP006">#REF!</definedName>
    <definedName name="fhh">#REF!</definedName>
    <definedName name="abril">#REF!</definedName>
    <definedName name="EXT_GR">#REF!</definedName>
    <definedName name="___________f3glob">#REF!</definedName>
    <definedName name="_36_0_0_F">#REF!</definedName>
    <definedName name="r_fases">#REF!</definedName>
    <definedName name="_JUN07">#REF!</definedName>
    <definedName name="ubigeo">#REF!</definedName>
    <definedName name="ol">#REF!</definedName>
    <definedName name="sheet6_1">#REF!</definedName>
    <definedName name="Año">#REF!</definedName>
    <definedName name="punta">#REF!</definedName>
    <definedName name="Pasajes">#REF!</definedName>
    <definedName name="AA503104C">#REF!</definedName>
    <definedName name="Val_11">#REF!</definedName>
    <definedName name="Fecha2">#REF!</definedName>
    <definedName name="cx1f">#REF!</definedName>
    <definedName name="_MED3a_ratio_p3">#REF!</definedName>
    <definedName name="_______A2">#REF!</definedName>
    <definedName name="_f3glob01">#REF!</definedName>
    <definedName name="SHEET15">#REF!</definedName>
    <definedName name="xb">#REF!</definedName>
    <definedName name="P10C1">#REF!</definedName>
    <definedName name="SHARED_FORMULA_2">#REF!</definedName>
    <definedName name="f_c">#REF!</definedName>
    <definedName name="hped3_">#REF!</definedName>
    <definedName name="Planilla_37">#REF!</definedName>
    <definedName name="ggrel">#REF!</definedName>
    <definedName name="RTC">#REF!</definedName>
    <definedName name="_____n1">#REF!</definedName>
    <definedName name="TOTSHE24">#REF!</definedName>
    <definedName name="PLANILLA___SEMANA_1">#REF!</definedName>
    <definedName name="TOTAL_EQUIPO_SOLDADOR">#REF!</definedName>
    <definedName name="_TP002">#REF!</definedName>
    <definedName name="DOA">#REF!</definedName>
    <definedName name="Ayudante_Montaje">#REF!</definedName>
    <definedName name="ECO2b_c_p3">#REF!</definedName>
    <definedName name="esepcificacion_educativa">#REF!</definedName>
    <definedName name="_F63_">#REF!</definedName>
    <definedName name="Manual_Av">#REF!</definedName>
    <definedName name="_TP009">#REF!</definedName>
    <definedName name="_______________f3ang01">#REF!</definedName>
    <definedName name="PS1_3NT">#REF!</definedName>
    <definedName name="J">#REF!</definedName>
    <definedName name="B04____1">#REF!</definedName>
    <definedName name="_________S1">#REF!</definedName>
    <definedName name="___________A2">#REF!</definedName>
    <definedName name="RV_S">#REF!</definedName>
    <definedName name="nuevatabla1">#REF!</definedName>
    <definedName name="_OBS1_p1_">#REF!</definedName>
    <definedName name="_64_0_0_F">#REF!</definedName>
    <definedName name="atec">#REF!</definedName>
    <definedName name="neon_prob_c_p3">#REF!</definedName>
    <definedName name="AN">#REF!</definedName>
    <definedName name="mll">#REF!</definedName>
    <definedName name="MGG">#REF!</definedName>
    <definedName name="_________f3encode">#REF!</definedName>
    <definedName name="PSEC_3N">#REF!</definedName>
    <definedName name="D___1">#REF!</definedName>
    <definedName name="__ACC56">#REF!</definedName>
    <definedName name="TITLES_A_HRS">#REF!</definedName>
    <definedName name="Jornalero">#REF!</definedName>
    <definedName name="_MED3Q_ratio_p3">#REF!</definedName>
    <definedName name="MACU">#REF!</definedName>
    <definedName name="_________f2enco02">#REF!</definedName>
    <definedName name="__________A3">#REF!</definedName>
    <definedName name="__TP011">#REF!</definedName>
    <definedName name="eeeee">#REF!</definedName>
    <definedName name="_59_0_0_F">#REF!</definedName>
    <definedName name="FNIÑO">#REF!</definedName>
    <definedName name="_may07">#REF!</definedName>
    <definedName name="qs">#REF!</definedName>
    <definedName name="Alt..2">#REF!</definedName>
    <definedName name="Factor_Desvio_p2">#REF!</definedName>
    <definedName name="ERRORE">#REF!</definedName>
    <definedName name="lucho3">#REF!</definedName>
    <definedName name="ARMADOS">#REF!</definedName>
    <definedName name="_us96">#REF!</definedName>
    <definedName name="sema3">#REF!</definedName>
    <definedName name="E_6">#REF!</definedName>
    <definedName name="Factor_Desvio_p3">#REF!</definedName>
    <definedName name="_________________A5">#REF!</definedName>
    <definedName name="_INT6_p3_c1">#REF!</definedName>
    <definedName name="_iii43">#REF!</definedName>
    <definedName name="_TB2">#REF!</definedName>
    <definedName name="sema21">#REF!</definedName>
    <definedName name="ladrillokk">#REF!</definedName>
    <definedName name="B06____4">#REF!</definedName>
    <definedName name="AFP">#REF!</definedName>
    <definedName name="eeeeee___1">#REF!</definedName>
    <definedName name="_______TP005">#REF!</definedName>
    <definedName name="_f3angora">#REF!</definedName>
    <definedName name="TOTSHE25">#REF!</definedName>
    <definedName name="SISTEMA1">#REF!</definedName>
    <definedName name="UTILI">#REF!</definedName>
    <definedName name="Iqx_cesarea_c_p3">#REF!</definedName>
    <definedName name="sema16">#REF!</definedName>
    <definedName name="ASSS">#REF!</definedName>
    <definedName name="COLUMNA">#REF!</definedName>
    <definedName name="___________A5">#REF!</definedName>
    <definedName name="Resultado2">#REF!</definedName>
    <definedName name="RF2EQ">#REF!</definedName>
    <definedName name="Nivel_3_p1">#REF!</definedName>
    <definedName name="START">#REF!</definedName>
    <definedName name="___f3enco01">#REF!</definedName>
    <definedName name="rDesc">#REF!</definedName>
    <definedName name="Planilla_28">#REF!</definedName>
    <definedName name="_________fac03">#REF!</definedName>
    <definedName name="___TR4">#REF!</definedName>
    <definedName name="T_CAMBIO">#REF!</definedName>
    <definedName name="EE">#REF!</definedName>
    <definedName name="COMPE">#REF!</definedName>
    <definedName name="_____ENE05">#REF!</definedName>
    <definedName name="disolvente">#REF!</definedName>
    <definedName name="__ACC54">#REF!</definedName>
    <definedName name="rox">#REF!</definedName>
    <definedName name="_________________A1">#REF!</definedName>
    <definedName name="PRV_3">#REF!</definedName>
    <definedName name="_EMG1C_c_p3">#REF!</definedName>
    <definedName name="P.CONTIN">#REF!</definedName>
    <definedName name="FSV">#REF!</definedName>
    <definedName name="TABLA">#REF!</definedName>
    <definedName name="fred">#REF!</definedName>
    <definedName name="PLAN">#REF!</definedName>
    <definedName name="M_9">#REF!</definedName>
    <definedName name="Dt___0">#REF!</definedName>
    <definedName name="_ODN2_ratio_p2">#REF!</definedName>
    <definedName name="________A3">#REF!</definedName>
    <definedName name="_EMG7_c_p3">#REF!</definedName>
    <definedName name="_______________f2glob01">#REF!</definedName>
    <definedName name="Sprinksize">#REF!</definedName>
    <definedName name="jun069p">#REF!</definedName>
    <definedName name="gsdf">#REF!</definedName>
    <definedName name="____n1">#REF!</definedName>
    <definedName name="MENU">#REF!</definedName>
    <definedName name="_______TP004">#REF!</definedName>
    <definedName name="GAST_GRALES">#REF!</definedName>
    <definedName name="distritossss">#REF!</definedName>
    <definedName name="B05____3">#REF!</definedName>
    <definedName name="Página2">#REF!</definedName>
    <definedName name="_F35_">#REF!</definedName>
    <definedName name="___JUN07">#REF!</definedName>
    <definedName name="Beneficios_por_costos_de_operación">#REF!</definedName>
    <definedName name="_PSQ3_ratio_p2">#REF!</definedName>
    <definedName name="hpipe_">#REF!</definedName>
    <definedName name="Input_Av">#REF!</definedName>
    <definedName name="MAT">#REF!</definedName>
    <definedName name="CERRADURAS">#REF!</definedName>
    <definedName name="_____f2ango02">#REF!</definedName>
    <definedName name="hpipe_2">#REF!</definedName>
    <definedName name="_________A3">#REF!</definedName>
    <definedName name="_____________________n1">#REF!</definedName>
    <definedName name="QAAQ">#REF!</definedName>
    <definedName name="PR3_0_M">#REF!</definedName>
    <definedName name="cortadora">#REF!</definedName>
    <definedName name="D___3">#REF!</definedName>
    <definedName name="____TP008">#REF!</definedName>
    <definedName name="PSV_3N">#REF!</definedName>
    <definedName name="hz">#REF!</definedName>
    <definedName name="SHARED_FORMULA_17">#REF!</definedName>
    <definedName name="__________A4">#REF!</definedName>
    <definedName name="Cond2">#REF!</definedName>
    <definedName name="___TP003">#REF!</definedName>
    <definedName name="TS_0">#REF!</definedName>
    <definedName name="CENTROS">#REF!</definedName>
    <definedName name="DC_2T">#REF!</definedName>
    <definedName name="QWDEQWDF">#REF!</definedName>
    <definedName name="TT">#REF!</definedName>
    <definedName name="OPL">#REF!</definedName>
    <definedName name="___f3enco02">#REF!</definedName>
    <definedName name="_MED3a_c_p3">#REF!</definedName>
    <definedName name="_____________f2enco02">#REF!</definedName>
    <definedName name="RF2VEH">#REF!</definedName>
    <definedName name="Planilla_35">#REF!</definedName>
    <definedName name="Monto_Contrato">#REF!</definedName>
    <definedName name="TOP_DIMS">#REF!</definedName>
    <definedName name="AÑO_7">#REF!</definedName>
    <definedName name="___f1cad">#REF!</definedName>
    <definedName name="balance">#REF!</definedName>
    <definedName name="_INT9_p2">#REF!</definedName>
    <definedName name="cretex">#REF!</definedName>
    <definedName name="_MED3c_ratio_p3">#REF!</definedName>
    <definedName name="PA1_2N">#REF!</definedName>
    <definedName name="_F62_">#REF!</definedName>
    <definedName name="_TOP3h_c_p3">#REF!</definedName>
    <definedName name="sema1">#REF!</definedName>
    <definedName name="PER">#REF!</definedName>
    <definedName name="Área_Techada">#REF!</definedName>
    <definedName name="_______TP016">#REF!</definedName>
    <definedName name="Ductile_or_Brittle">#REF!</definedName>
    <definedName name="d_av">#REF!</definedName>
    <definedName name="_TP005">#REF!</definedName>
    <definedName name="bridas">#REF!</definedName>
    <definedName name="Beneficios_de_usuarios_de_tiempo_de_viaje">#REF!</definedName>
    <definedName name="sema12">#REF!</definedName>
    <definedName name="Maestro_Obra_Gruesa">#REF!</definedName>
    <definedName name="Val_14">#REF!</definedName>
    <definedName name="Val_58">#REF!</definedName>
    <definedName name="PROVINCIA_6">#REF!</definedName>
    <definedName name="_______A1">#REF!</definedName>
    <definedName name="eeeeeeee">#REF!</definedName>
    <definedName name="CARG">#REF!</definedName>
    <definedName name="GG_InP">#REF!</definedName>
    <definedName name="qnuevo">#REF!</definedName>
    <definedName name="__BUT38">#REF!</definedName>
    <definedName name="lucho2">#REF!</definedName>
    <definedName name="_Ind4">#REF!</definedName>
    <definedName name="PLANILLA___SEMANA_2">#REF!</definedName>
    <definedName name="_____f3set01">#REF!</definedName>
    <definedName name="_say1">#REF!</definedName>
    <definedName name="PAST_C_MT">#REF!</definedName>
    <definedName name="cy">#REF!</definedName>
    <definedName name="uut">#REF!</definedName>
    <definedName name="SHARED_FORMULA_8">#REF!</definedName>
    <definedName name="RECORD">#REF!</definedName>
    <definedName name="___us96">#REF!</definedName>
    <definedName name="eefftri_1">#REF!</definedName>
    <definedName name="xd">#REF!</definedName>
    <definedName name="Muz_ped">#REF!</definedName>
    <definedName name="Nivel_2_p3">#REF!</definedName>
    <definedName name="B_1___1">#REF!</definedName>
    <definedName name="pu8mm">#REF!</definedName>
    <definedName name="Luis">#REF!</definedName>
    <definedName name="_____f3ang01">#REF!</definedName>
    <definedName name="TOTSHE18">#REF!</definedName>
    <definedName name="_iii11">#REF!</definedName>
    <definedName name="VNI">#REF!</definedName>
    <definedName name="_AA503101">#REF!</definedName>
    <definedName name="_______f3enco01">#REF!</definedName>
    <definedName name="sema37">#REF!</definedName>
    <definedName name="DOCENTES">#REF!</definedName>
    <definedName name="___f3set01">#REF!</definedName>
    <definedName name="Ptotal">#REF!</definedName>
    <definedName name="ue">#REF!</definedName>
    <definedName name="MANF19">#REF!</definedName>
    <definedName name="P1_i_gestantes">#REF!</definedName>
    <definedName name="___f1set">#REF!</definedName>
    <definedName name="as">#REF!</definedName>
    <definedName name="PAT_C">#REF!</definedName>
    <definedName name="mater">#REF!</definedName>
    <definedName name="ufm">#REF!</definedName>
    <definedName name="Poc.Nac">#REF!</definedName>
    <definedName name="_____________fac03">#REF!</definedName>
    <definedName name="PLANILLA___SEMANA_6">#REF!</definedName>
    <definedName name="SE">#REF!</definedName>
    <definedName name="Planilla_34">#REF!</definedName>
    <definedName name="PRINT_1">#REF!</definedName>
    <definedName name="Print_Area_MI">#REF!</definedName>
    <definedName name="CATREC">#REF!</definedName>
    <definedName name="PAST_M_BT">#REF!</definedName>
    <definedName name="Val_41">#REF!</definedName>
    <definedName name="___________________n1">#REF!</definedName>
    <definedName name="fenco02">#REF!</definedName>
    <definedName name="bomba">#REF!</definedName>
    <definedName name="COCINAS">#REF!</definedName>
    <definedName name="NoAseg_Pobre_p3">#REF!</definedName>
    <definedName name="PAT_1_M">#REF!</definedName>
    <definedName name="MANF16">#REF!</definedName>
    <definedName name="_____________n1">#REF!</definedName>
    <definedName name="STAMPA">#REF!</definedName>
    <definedName name="B04____0">#REF!</definedName>
    <definedName name="BuiltIn_Print_Titles___0">#REF!</definedName>
    <definedName name="_______________f2global">#REF!</definedName>
    <definedName name="Por.Imp">#REF!</definedName>
    <definedName name="vhin">#REF!</definedName>
    <definedName name="___________f3ang01">#REF!</definedName>
    <definedName name="JOSE">#REF!</definedName>
    <definedName name="_BUT38">#REF!</definedName>
    <definedName name="MINSA_NoAseg_Pobre_p2">#REF!</definedName>
    <definedName name="cc___0">#REF!</definedName>
    <definedName name="Descuento_Especial">#REF!</definedName>
    <definedName name="DESCUNMI">#REF!</definedName>
    <definedName name="lucho5">#REF!</definedName>
    <definedName name="MONTO">#REF!</definedName>
    <definedName name="Aseg_Pobre_p3">#REF!</definedName>
    <definedName name="Maestro1__Cañerías_Piping">#REF!</definedName>
    <definedName name="PS1_0_M">#REF!</definedName>
    <definedName name="utm">#REF!</definedName>
    <definedName name="B03____2">#REF!</definedName>
    <definedName name="__A1">#REF!</definedName>
    <definedName name="PA1_3N">#REF!</definedName>
    <definedName name="_______f2enco01">#REF!</definedName>
    <definedName name="B04____4">#REF!</definedName>
    <definedName name="Module_11">#REF!</definedName>
    <definedName name="__F">#REF!</definedName>
    <definedName name="Val_54">#REF!</definedName>
    <definedName name="E_2_1S">#REF!</definedName>
    <definedName name="rClient">#REF!</definedName>
    <definedName name="_F20_">#REF!</definedName>
    <definedName name="_________________A4">#REF!</definedName>
    <definedName name="AREANO4">#REF!</definedName>
    <definedName name="ACOM_CC">#REF!</definedName>
    <definedName name="_may05">#REF!</definedName>
    <definedName name="MINSA_Aseg_NoPobre_p1">#REF!</definedName>
    <definedName name="Amz">#REF!</definedName>
    <definedName name="_ENF2a_ratio_p2">#REF!</definedName>
    <definedName name="PA2_3N">#REF!</definedName>
    <definedName name="_iii40">#REF!</definedName>
    <definedName name="Am">#REF!</definedName>
    <definedName name="_________________n1">#REF!</definedName>
    <definedName name="SUMMARY">#REF!</definedName>
    <definedName name="TOTSHE13">#REF!</definedName>
    <definedName name="Horas_Semana">#REF!</definedName>
    <definedName name="TOTSHE3">#REF!</definedName>
    <definedName name="rodillo">#REF!</definedName>
    <definedName name="Ly">#REF!</definedName>
    <definedName name="mario">#REF!</definedName>
    <definedName name="_____f3angora">#REF!</definedName>
    <definedName name="_______f3set">#REF!</definedName>
    <definedName name="_MED2c_c_p2">#REF!</definedName>
    <definedName name="e620.">#REF!</definedName>
    <definedName name="B08____1">#REF!</definedName>
    <definedName name="JOBHR">#REF!</definedName>
    <definedName name="DETAIL">#REF!</definedName>
    <definedName name="Fecha4">#REF!</definedName>
    <definedName name="RECARGO">#REF!</definedName>
    <definedName name="_f">#REF!</definedName>
    <definedName name="B07____4">#REF!</definedName>
    <definedName name="Val_37">#REF!</definedName>
    <definedName name="_iii47">#REF!</definedName>
    <definedName name="rLocation">#REF!</definedName>
    <definedName name="_AA503100">#REF!</definedName>
    <definedName name="SHARED_FORMULA_34">#REF!</definedName>
    <definedName name="Grasa">#REF!</definedName>
    <definedName name="_ENF2e_ratio_p2">#REF!</definedName>
    <definedName name="Planilla_18">#REF!</definedName>
    <definedName name="D___0">#REF!</definedName>
    <definedName name="INSUMOS">#REF!</definedName>
    <definedName name="COPY2">#REF!</definedName>
    <definedName name="Columnas_sótano">#REF!</definedName>
    <definedName name="AREA">#REF!</definedName>
    <definedName name="PA3_1NT">#REF!</definedName>
    <definedName name="sema43">#REF!</definedName>
    <definedName name="RV">#REF!</definedName>
    <definedName name="aisc">#REF!</definedName>
    <definedName name="_____f2glob01">#REF!</definedName>
    <definedName name="SHARED_FORMULA_5">#REF!</definedName>
    <definedName name="TITULO">#REF!</definedName>
    <definedName name="Inicio">#REF!</definedName>
    <definedName name="____A3">#REF!</definedName>
    <definedName name="fad">#REF!</definedName>
    <definedName name="C_2___2">#REF!</definedName>
    <definedName name="ANAC">#REF!</definedName>
    <definedName name="________A1">#REF!</definedName>
    <definedName name="JUCtes.Débiles">#REF!</definedName>
    <definedName name="Cond5">#REF!</definedName>
    <definedName name="LO">#REF!</definedName>
    <definedName name="_INT6_p3_c2">#REF!</definedName>
    <definedName name="Planilla_50">#REF!</definedName>
    <definedName name="GSFGSF">#REF!</definedName>
    <definedName name="_INT3_CE_p2">#REF!</definedName>
    <definedName name="dadss">#REF!</definedName>
    <definedName name="___TP013">#REF!</definedName>
    <definedName name="B2_Dpto_1_1">#REF!</definedName>
    <definedName name="tab_001">#REF!</definedName>
    <definedName name="___f2ango01">#REF!</definedName>
    <definedName name="PLANILLA___SEMANA_7">#REF!</definedName>
    <definedName name="A_12">#REF!</definedName>
    <definedName name="_____________f2set01">#REF!</definedName>
    <definedName name="hz_estimada">#REF!</definedName>
    <definedName name="B08____4">#REF!</definedName>
    <definedName name="Descuento_Movim.Tierras">#REF!</definedName>
    <definedName name="Operador_Maquinaria_Liviana">#REF!</definedName>
    <definedName name="EEEEEE">#REF!</definedName>
    <definedName name="mater1">#REF!</definedName>
    <definedName name="SHARED_FORMULA_27">#REF!</definedName>
    <definedName name="uff">#REF!</definedName>
    <definedName name="Formato17A">#REF!</definedName>
    <definedName name="PS1_1N">#REF!</definedName>
    <definedName name="_MED3h_c_p3">#REF!</definedName>
    <definedName name="anterior_1">#REF!</definedName>
    <definedName name="WSWSS">#REF!</definedName>
    <definedName name="PSER_0">#REF!</definedName>
    <definedName name="___AA80220">#REF!</definedName>
    <definedName name="_______________f2cad">#REF!</definedName>
    <definedName name="Excel_BuiltIn_Database_4">#REF!</definedName>
    <definedName name="tab_07">#REF!</definedName>
    <definedName name="Shear_c_1">#REF!</definedName>
    <definedName name="Asmaxx_m">#REF!</definedName>
    <definedName name="______A2">#REF!</definedName>
    <definedName name="sema30">#REF!</definedName>
    <definedName name="A193T97">#REF!</definedName>
    <definedName name="DRA_PIURA___2">#REF!</definedName>
    <definedName name="ert56yhh">#REF!</definedName>
    <definedName name="Mx_1">#REF!</definedName>
    <definedName name="sema29">#REF!</definedName>
    <definedName name="__________">#REF!</definedName>
    <definedName name="pipe1">#REF!</definedName>
    <definedName name="sema46">#REF!</definedName>
    <definedName name="TS_3">#REF!</definedName>
    <definedName name="Lxi">#REF!</definedName>
    <definedName name="_BUT78">#REF!</definedName>
    <definedName name="__AA999999">#REF!</definedName>
    <definedName name="Val_04">#REF!</definedName>
    <definedName name="hp1_">#REF!</definedName>
    <definedName name="__tb5">#REF!</definedName>
    <definedName name="_TP008">#REF!</definedName>
    <definedName name="var_benef">#REF!</definedName>
    <definedName name="_MED3T_c_p3">#REF!</definedName>
    <definedName name="SHEET4">#REF!</definedName>
    <definedName name="NoPobre_p3">#REF!</definedName>
    <definedName name="E_1_1">#REF!</definedName>
    <definedName name="XPRINT3">#REF!</definedName>
    <definedName name="KARLA">#REF!</definedName>
    <definedName name="_iii10">#REF!</definedName>
    <definedName name="triplay">#REF!</definedName>
    <definedName name="DQWDASDCSDCQWE">#REF!</definedName>
    <definedName name="AÑO_6">#REF!</definedName>
    <definedName name="cfc2101l">#REF!</definedName>
    <definedName name="_OBS1_prena_ratio_p1_">#REF!</definedName>
    <definedName name="_EMG2d_c_p3">#REF!</definedName>
    <definedName name="SBH">#REF!</definedName>
    <definedName name="sema44">#REF!</definedName>
    <definedName name="tab_003">#REF!</definedName>
    <definedName name="Dt___3">#REF!</definedName>
    <definedName name="nivel_de_insruccion">#REF!</definedName>
    <definedName name="Capt">#REF!</definedName>
    <definedName name="CANALETA">#REF!</definedName>
    <definedName name="factores">#REF!</definedName>
    <definedName name="BuiltIn_Print_Area___0___0___2">#REF!</definedName>
    <definedName name="WEFRQWCFQ">#REF!</definedName>
    <definedName name="PUERTASALUMINIO">#REF!</definedName>
    <definedName name="TaskDesc">#REF!</definedName>
    <definedName name="MMG1_c_p3">#REF!</definedName>
    <definedName name="gngl_">#REF!</definedName>
    <definedName name="_____f3enco01">#REF!</definedName>
    <definedName name="gsdf___0">#REF!</definedName>
    <definedName name="__AA70517">#REF!</definedName>
    <definedName name="_MED3o_c_p3">#REF!</definedName>
    <definedName name="_INT3_EMG_p3">#REF!</definedName>
    <definedName name="Lz1f">#REF!</definedName>
    <definedName name="__TP013">#REF!</definedName>
    <definedName name="B01____2">#REF!</definedName>
    <definedName name="XPRINT">#REF!</definedName>
    <definedName name="SBM_1P">#REF!</definedName>
    <definedName name="CISTERNAS">#REF!</definedName>
    <definedName name="RGRAL">#REF!</definedName>
    <definedName name="imp">#REF!</definedName>
    <definedName name="head1">#REF!</definedName>
    <definedName name="_F41_">#REF!</definedName>
    <definedName name="PA3_1NT_M">#REF!</definedName>
    <definedName name="BuiltIn_Print_Area___0">#REF!</definedName>
    <definedName name="sema45">#REF!</definedName>
    <definedName name="_pu6">#REF!</definedName>
    <definedName name="AÑO_3">#REF!</definedName>
    <definedName name="jn">#REF!</definedName>
    <definedName name="Val_16">#REF!</definedName>
    <definedName name="Estac_aéreo2">#REF!</definedName>
    <definedName name="cual">#REF!</definedName>
    <definedName name="Página3">#REF!</definedName>
    <definedName name="HHME">#REF!</definedName>
    <definedName name="cfc245t1">#REF!</definedName>
    <definedName name="CUADRO">#REF!</definedName>
    <definedName name="___ALT2">#REF!</definedName>
    <definedName name="PAT1_c_p3">#REF!</definedName>
    <definedName name="_________f3enco02">#REF!</definedName>
    <definedName name="_TOP3b_c_p3">#REF!</definedName>
    <definedName name="VOL____2">#REF!</definedName>
    <definedName name="_F15p">#REF!</definedName>
    <definedName name="_iii72">#REF!</definedName>
    <definedName name="Val_09">#REF!</definedName>
    <definedName name="fac">#REF!</definedName>
    <definedName name="cfc210t1">#REF!</definedName>
    <definedName name="Val_10">#REF!</definedName>
    <definedName name="Y">#REF!</definedName>
    <definedName name="_________f1cad">#REF!</definedName>
    <definedName name="NoAcude_NoAseg_Pobre_p2">#REF!</definedName>
    <definedName name="cfc210tv">#REF!</definedName>
    <definedName name="JG">#REF!</definedName>
    <definedName name="FA_sismo">#REF!</definedName>
    <definedName name="_AA503306">#REF!</definedName>
    <definedName name="___________f3set01">#REF!</definedName>
    <definedName name="bcc">#REF!</definedName>
    <definedName name="ro_m">#REF!</definedName>
    <definedName name="_Var1">#REF!</definedName>
    <definedName name="Prob_enf_P1">#REF!</definedName>
    <definedName name="Planilla_20">#REF!</definedName>
    <definedName name="BAJADA">#REF!</definedName>
    <definedName name="_AA503107">#REF!</definedName>
    <definedName name="P1_i">#REF!</definedName>
    <definedName name="INPU">#REF!</definedName>
    <definedName name="Val_21">#REF!</definedName>
    <definedName name="_AA80220">#REF!</definedName>
    <definedName name="B06_">#REF!</definedName>
    <definedName name="resumen1">#REF!</definedName>
    <definedName name="A_18">#REF!</definedName>
    <definedName name="A_11">#REF!</definedName>
    <definedName name="JUNTA_DE_DILATACIÓN_C_SELLO_ELASTOMÉTRICO___ESPUMA_PLASTICA">#REF!</definedName>
    <definedName name="alambre">#REF!</definedName>
    <definedName name="vans2">#REF!</definedName>
    <definedName name="Lyi">#REF!</definedName>
    <definedName name="qnuevo1">#REF!</definedName>
    <definedName name="_________________________n2">#REF!</definedName>
    <definedName name="MTO">#REF!</definedName>
    <definedName name="fac_">#REF!</definedName>
    <definedName name="MANF25">#REF!</definedName>
    <definedName name="___________________n2">#REF!</definedName>
    <definedName name="bomel">#REF!</definedName>
    <definedName name="__123Graph_XGRA2">#REF!</definedName>
    <definedName name="PSV_3">#REF!</definedName>
    <definedName name="C_1___3">#REF!</definedName>
    <definedName name="_________f3set01">#REF!</definedName>
    <definedName name="NoAcude_NoAseg_Pobre_p1">#REF!</definedName>
    <definedName name="PA1_1NT">#REF!</definedName>
    <definedName name="_MED3g_ratio_p3">#REF!</definedName>
    <definedName name="zzz">#REF!</definedName>
    <definedName name="_ODN2_c_p2">#REF!</definedName>
    <definedName name="JobClass">#REF!</definedName>
    <definedName name="alf_s1">#REF!</definedName>
    <definedName name="sema17">#REF!</definedName>
    <definedName name="_MED3p_c_p3">#REF!</definedName>
    <definedName name="q_15">#REF!</definedName>
    <definedName name="_______f3encode">#REF!</definedName>
    <definedName name="MINSA_NoAseg_Pobre_p3">#REF!</definedName>
    <definedName name="_______f3glob01">#REF!</definedName>
    <definedName name="_______________f2angora">#REF!</definedName>
    <definedName name="_________________________A5">#REF!</definedName>
    <definedName name="sema39">#REF!</definedName>
    <definedName name="SHARED_FORMULA_37">#REF!</definedName>
    <definedName name="Capataz_Montaje">#REF!</definedName>
    <definedName name="TOTSHE6">#REF!</definedName>
    <definedName name="__2_2__OPTI">#REF!</definedName>
    <definedName name="E_2_1">#REF!</definedName>
    <definedName name="FN">#REF!</definedName>
    <definedName name="_TP007">#REF!</definedName>
    <definedName name="_UCI4_c_p3">#REF!</definedName>
    <definedName name="AA5051901B">#REF!</definedName>
    <definedName name="JORNAL">#REF!</definedName>
    <definedName name="___TP005">#REF!</definedName>
    <definedName name="PTV_3">#REF!</definedName>
    <definedName name="Incendio">#REF!</definedName>
    <definedName name="NOMINA">#REF!</definedName>
    <definedName name="_____f2ango01">#REF!</definedName>
    <definedName name="Planilla_10">#REF!</definedName>
    <definedName name="_INT2_CE_p3">#REF!</definedName>
    <definedName name="VNIM">#REF!</definedName>
    <definedName name="var_benef2">#REF!</definedName>
    <definedName name="B07____0">#REF!</definedName>
    <definedName name="TR4P">#REF!</definedName>
    <definedName name="Excel_BuiltIn_Print_Area_2">#REF!</definedName>
    <definedName name="_____________f2set">#REF!</definedName>
    <definedName name="Conc_Cap_Tension">#REF!</definedName>
    <definedName name="___f2angora">#REF!</definedName>
    <definedName name="SHEET24">#REF!</definedName>
    <definedName name="Cond4">#REF!</definedName>
    <definedName name="sema40">#REF!</definedName>
    <definedName name="Hormigon">#REF!</definedName>
    <definedName name="q_2">#REF!</definedName>
    <definedName name="Excel_BuiltIn_Database_7">#REF!</definedName>
    <definedName name="DC_1T">#REF!</definedName>
    <definedName name="_F33_">#REF!</definedName>
    <definedName name="N__FUND____2">#REF!</definedName>
    <definedName name="_iii17">#REF!</definedName>
    <definedName name="Prob_enf_P2">#REF!</definedName>
    <definedName name="DC_1">#REF!</definedName>
    <definedName name="PTV_2">#REF!</definedName>
    <definedName name="__TP005">#REF!</definedName>
    <definedName name="martillohilti">#REF!</definedName>
    <definedName name="MODALIDAD">#REF!</definedName>
    <definedName name="___________________A1">#REF!</definedName>
    <definedName name="_fff65">#REF!</definedName>
    <definedName name="Planilla_13">#REF!</definedName>
    <definedName name="P2_i">#REF!</definedName>
    <definedName name="Año_0_2">#REF!</definedName>
    <definedName name="Planilla_48">#REF!</definedName>
    <definedName name="_ENF2c_p2">#REF!</definedName>
    <definedName name="prep">#REF!</definedName>
    <definedName name="ES_T1">#REF!</definedName>
    <definedName name="MINSA_NoAseg_Pobre_p1">#REF!</definedName>
    <definedName name="_________f2global">#REF!</definedName>
    <definedName name="DIRECREC">#REF!</definedName>
    <definedName name="Val_46">#REF!</definedName>
    <definedName name="_ACC56">#REF!</definedName>
    <definedName name="_fff54">#REF!</definedName>
    <definedName name="E_5_1S">#REF!</definedName>
    <definedName name="Shear_s_2">#REF!</definedName>
    <definedName name="COMP">#REF!</definedName>
    <definedName name="NoPobre_p2">#REF!</definedName>
    <definedName name="____TP005">#REF!</definedName>
    <definedName name="Año_0_3">#REF!</definedName>
    <definedName name="Fluid">#REF!</definedName>
    <definedName name="planilla_03">#REF!</definedName>
    <definedName name="___ACC54">#REF!</definedName>
    <definedName name="_S1">#REF!</definedName>
    <definedName name="_f2ango01">#REF!</definedName>
    <definedName name="_______TP014">#REF!</definedName>
    <definedName name="TABLEPRI">#REF!</definedName>
    <definedName name="BuiltIn_Print_Titles">#REF!</definedName>
    <definedName name="L.Sociales">#REF!</definedName>
    <definedName name="SHEET8">#REF!</definedName>
    <definedName name="Excel_BuiltIn_Database_2">#REF!</definedName>
    <definedName name="_NUT1_ratio_p2">#REF!</definedName>
    <definedName name="ANEXO3A1">#REF!</definedName>
    <definedName name="Nivel_3_p2">#REF!</definedName>
    <definedName name="angulo">#REF!</definedName>
    <definedName name="P3_i">#REF!</definedName>
    <definedName name="__QTY1">#REF!</definedName>
    <definedName name="Asmaxz_m">#REF!</definedName>
    <definedName name="__dbs11">#REF!</definedName>
    <definedName name="Area_terreno2">#REF!</definedName>
    <definedName name="B2_Dpto_2_1">#REF!</definedName>
    <definedName name="SHARED_FORMULA_18">#REF!</definedName>
    <definedName name="SHEET7">#REF!</definedName>
    <definedName name="A_13">#REF!</definedName>
    <definedName name="aD">#REF!</definedName>
    <definedName name="sema34">#REF!</definedName>
    <definedName name="VOL_">#REF!</definedName>
    <definedName name="_________f3enco01">#REF!</definedName>
    <definedName name="A_22">#REF!</definedName>
    <definedName name="RF2MAT">#REF!</definedName>
    <definedName name="cfc2101p">#REF!</definedName>
    <definedName name="hhh">#REF!</definedName>
    <definedName name="____A1">#REF!</definedName>
    <definedName name="_____f1set">#REF!</definedName>
    <definedName name="ca">#REF!</definedName>
    <definedName name="Aseg_NoPobre_p2">#REF!</definedName>
    <definedName name="B_1">#REF!</definedName>
    <definedName name="______n2">#REF!</definedName>
    <definedName name="ss">#REF!</definedName>
    <definedName name="Area_terreno">#REF!</definedName>
    <definedName name="Conc_Cap_Shear">#REF!</definedName>
    <definedName name="__dbs76">#REF!</definedName>
    <definedName name="sema35">#REF!</definedName>
    <definedName name="AAAA">#REF!</definedName>
    <definedName name="rDate">#REF!</definedName>
    <definedName name="pmf">#REF!</definedName>
    <definedName name="_F30_">#REF!</definedName>
    <definedName name="Bono">#REF!</definedName>
    <definedName name="CE">#REF!</definedName>
    <definedName name="Val_18">#REF!</definedName>
    <definedName name="AREANAME2">#REF!</definedName>
    <definedName name="cfc245t1f">#REF!</definedName>
    <definedName name="StrategyChoices">#REF!</definedName>
    <definedName name="__A2">#REF!</definedName>
    <definedName name="_may03">#REF!</definedName>
    <definedName name="_iii12">#REF!</definedName>
    <definedName name="__TP009">#REF!</definedName>
    <definedName name="___________f3angora">#REF!</definedName>
    <definedName name="_______________f2enco02">#REF!</definedName>
    <definedName name="bcero">#REF!</definedName>
    <definedName name="ALMUERZO_FAENA">#REF!</definedName>
    <definedName name="TGA">#REF!</definedName>
    <definedName name="_MED3W_c_p3">#REF!</definedName>
    <definedName name="NoAseg_NoPobre_p1">#REF!</definedName>
    <definedName name="Atenciones">#REF!</definedName>
    <definedName name="ASF">#REF!</definedName>
    <definedName name="eewee">#REF!</definedName>
    <definedName name="_______________f2ango01">#REF!</definedName>
    <definedName name="SHARED_FORMULA_31">#REF!</definedName>
    <definedName name="Val_49">#REF!</definedName>
    <definedName name="_MED3k_c_p3">#REF!</definedName>
    <definedName name="PSEC_2NP">#REF!</definedName>
    <definedName name="tecnopor">#REF!</definedName>
    <definedName name="L_x">#REF!</definedName>
    <definedName name="__all1">#REF!</definedName>
    <definedName name="_________f3set">#REF!</definedName>
    <definedName name="cerco">#REF!</definedName>
    <definedName name="COMPI">#REF!</definedName>
    <definedName name="Previo_7">#REF!</definedName>
    <definedName name="tipoc">#REF!</definedName>
    <definedName name="Dálar">#REF!</definedName>
    <definedName name="InvInc_Equ">#REF!</definedName>
    <definedName name="_________f3angora">#REF!</definedName>
    <definedName name="___f3glob01">#REF!</definedName>
    <definedName name="PR3_3">#REF!</definedName>
    <definedName name="__xlnm.Criteria">#REF!</definedName>
    <definedName name="_ENF2e_p2">#REF!</definedName>
    <definedName name="_pu1">#REF!</definedName>
    <definedName name="_Ind3">#REF!</definedName>
    <definedName name="VE">#REF!</definedName>
    <definedName name="B_2">#REF!</definedName>
    <definedName name="SMM_2N">#REF!</definedName>
    <definedName name="Nivel_1_p2">#REF!</definedName>
    <definedName name="fenco01">#REF!</definedName>
    <definedName name="_MED3R_ratio_p3">#REF!</definedName>
    <definedName name="A_1___4">#REF!</definedName>
    <definedName name="_MED3c_c_p3">#REF!</definedName>
    <definedName name="pirca">#REF!</definedName>
    <definedName name="A_8">#REF!</definedName>
    <definedName name="tipo_de_delito">#REF!</definedName>
    <definedName name="tipo_de_libertades">#REF!</definedName>
    <definedName name="D___2">#REF!</definedName>
    <definedName name="VANITORIOS">#REF!</definedName>
    <definedName name="TIPO_DE_BASE___3">#REF!</definedName>
    <definedName name="_iii21">#REF!</definedName>
    <definedName name="EFA">#REF!</definedName>
    <definedName name="_MED2c_ratio_p2">#REF!</definedName>
    <definedName name="B1_Dpto_2_1">#REF!</definedName>
    <definedName name="_______f2cad">#REF!</definedName>
    <definedName name="CABEZA7">#REF!</definedName>
    <definedName name="RMCB">#REF!</definedName>
    <definedName name="Planilla_27">#REF!</definedName>
    <definedName name="_CUN1">#REF!</definedName>
    <definedName name="_iii39">#REF!</definedName>
    <definedName name="_____f3ang02">#REF!</definedName>
    <definedName name="_f3ang01">#REF!</definedName>
    <definedName name="dta">#REF!</definedName>
    <definedName name="Val_40">#REF!</definedName>
    <definedName name="TOTSHE20">#REF!</definedName>
    <definedName name="__TP010">#REF!</definedName>
    <definedName name="VOL__TOT____2">#REF!</definedName>
    <definedName name="crog">#REF!</definedName>
    <definedName name="L_z">#REF!</definedName>
    <definedName name="qwweer">#REF!</definedName>
    <definedName name="Planilla_47">#REF!</definedName>
    <definedName name="SHARED_FORMULA_13">#REF!</definedName>
    <definedName name="___f2global">#REF!</definedName>
    <definedName name="___________fac03">#REF!</definedName>
    <definedName name="CP">#REF!</definedName>
    <definedName name="ababa">#REF!</definedName>
    <definedName name="GI">#REF!</definedName>
    <definedName name="_____f3glob">#REF!</definedName>
    <definedName name="__pu3">#REF!</definedName>
    <definedName name="__pu12">#REF!</definedName>
    <definedName name="gge">#REF!</definedName>
    <definedName name="_ENF2f_p2">#REF!</definedName>
    <definedName name="___________f2set01">#REF!</definedName>
    <definedName name="VOLVO">#REF!</definedName>
    <definedName name="Val_60">#REF!</definedName>
    <definedName name="ICNI">#REF!</definedName>
    <definedName name="_UCI3_c_p3">#REF!</definedName>
    <definedName name="DIEZ">#REF!</definedName>
    <definedName name="CURR45">#REF!</definedName>
    <definedName name="Area124">#REF!</definedName>
    <definedName name="perfil">#REF!</definedName>
    <definedName name="_MED3i_ratio_p3">#REF!</definedName>
    <definedName name="flextre">#REF!</definedName>
    <definedName name="SHARED_FORMULA_21">#REF!</definedName>
    <definedName name="pirc">#REF!</definedName>
    <definedName name="Z_9">#REF!</definedName>
    <definedName name="PUNTODEINSERCION">#REF!</definedName>
    <definedName name="L1x_m">#REF!</definedName>
    <definedName name="________n2">#REF!</definedName>
    <definedName name="_______f3set01">#REF!</definedName>
    <definedName name="Anticipo">#REF!</definedName>
    <definedName name="aB">#REF!</definedName>
    <definedName name="SHARED_FORMULA_25">#REF!</definedName>
    <definedName name="_ACC54">#REF!</definedName>
    <definedName name="_may10">#REF!</definedName>
    <definedName name="_________fac02">#REF!</definedName>
    <definedName name="Excel_BuiltIn_Database_6">#REF!</definedName>
    <definedName name="MARCOSMADERA">#REF!</definedName>
    <definedName name="_ENF2g_c_p2">#REF!</definedName>
    <definedName name="__Ind3">#REF!</definedName>
    <definedName name="MARCOSMETALICOS">#REF!</definedName>
    <definedName name="Planilla_19">#REF!</definedName>
    <definedName name="___________n2">#REF!</definedName>
    <definedName name="A_17">#REF!</definedName>
    <definedName name="DRA_PIURA1">#REF!</definedName>
    <definedName name="CLOSETS">#REF!</definedName>
    <definedName name="B05____0">#REF!</definedName>
    <definedName name="_fff12">#REF!</definedName>
    <definedName name="Fz">#REF!</definedName>
    <definedName name="hhhnn">#REF!</definedName>
    <definedName name="A_2___1">#REF!</definedName>
    <definedName name="TOTSHE22">#REF!</definedName>
    <definedName name="aaaaa">#REF!</definedName>
    <definedName name="_________f2ango01">#REF!</definedName>
    <definedName name="___TP015">#REF!</definedName>
    <definedName name="Departamento">#REF!</definedName>
    <definedName name="_FFF50">#REF!</definedName>
    <definedName name="___QTY1">#REF!</definedName>
    <definedName name="_ENF2h_p2">#REF!</definedName>
    <definedName name="A_2___0">#REF!</definedName>
    <definedName name="_______f3angora">#REF!</definedName>
    <definedName name="qnuevo_m">#REF!</definedName>
    <definedName name="cc___1">#REF!</definedName>
    <definedName name="var_inver2">#REF!</definedName>
    <definedName name="_TP016">#REF!</definedName>
    <definedName name="_fff47">#REF!</definedName>
    <definedName name="_______________A1">#REF!</definedName>
    <definedName name="_INT2_EMG_p3">#REF!</definedName>
    <definedName name="Planilla_49">#REF!</definedName>
    <definedName name="sema11">#REF!</definedName>
    <definedName name="_____________fac02">#REF!</definedName>
    <definedName name="REM">#REF!</definedName>
    <definedName name="_ENF2c_c_p2">#REF!</definedName>
    <definedName name="PAT_1">#REF!</definedName>
    <definedName name="_iii30">#REF!</definedName>
    <definedName name="Previo_2">#REF!</definedName>
    <definedName name="_______TP003">#REF!</definedName>
    <definedName name="_______________________A3">#REF!</definedName>
    <definedName name="sema33">#REF!</definedName>
    <definedName name="P1_i_femenina_P2">#REF!</definedName>
    <definedName name="BuiltIn_AutoFilter___3">#REF!</definedName>
    <definedName name="_TB10">#REF!</definedName>
    <definedName name="uf">#REF!</definedName>
    <definedName name="balance_3">#REF!</definedName>
    <definedName name="_______________f3ang02">#REF!</definedName>
    <definedName name="Buscar2">#REF!</definedName>
    <definedName name="_______f2ango01">#REF!</definedName>
    <definedName name="tab_201">#REF!</definedName>
    <definedName name="ZANJAS">#REF!</definedName>
    <definedName name="Consulta_Importe_Id">#REF!</definedName>
    <definedName name="_____________f2glob01">#REF!</definedName>
    <definedName name="_____________________S1">#REF!</definedName>
    <definedName name="_______________fac03">#REF!</definedName>
    <definedName name="PTG">#REF!</definedName>
    <definedName name="Diam">#REF!</definedName>
    <definedName name="PSVE_3">#REF!</definedName>
    <definedName name="_OBS1c_p1_">#REF!</definedName>
    <definedName name="_TP006">#REF!</definedName>
    <definedName name="HOURS_A">#REF!</definedName>
    <definedName name="PIPE">#REF!</definedName>
    <definedName name="TOTSHE19">#REF!</definedName>
    <definedName name="____TP009">#REF!</definedName>
    <definedName name="_fff10">#REF!</definedName>
    <definedName name="Imprimir_área_IM">#REF!</definedName>
    <definedName name="_______f1set">#REF!</definedName>
    <definedName name="BuiltIn_Print_Area">#REF!</definedName>
    <definedName name="_Fill">#REF!</definedName>
    <definedName name="C_2___3">#REF!</definedName>
    <definedName name="N__FUND____0">#REF!</definedName>
    <definedName name="_A2">#REF!</definedName>
    <definedName name="MANF60">#REF!</definedName>
    <definedName name="_____________f2global">#REF!</definedName>
    <definedName name="Gest_c_p3">#REF!</definedName>
    <definedName name="_asp2">#REF!</definedName>
    <definedName name="_MED3S_c_p3">#REF!</definedName>
    <definedName name="sema19">#REF!</definedName>
    <definedName name="_iii54">#REF!</definedName>
    <definedName name="_______________fac02">#REF!</definedName>
    <definedName name="___TP009">#REF!</definedName>
    <definedName name="_f3enco01">#REF!</definedName>
    <definedName name="___TP011">#REF!</definedName>
    <definedName name="B06____1">#REF!</definedName>
    <definedName name="B_2___3">#REF!</definedName>
    <definedName name="Planilla_40">#REF!</definedName>
    <definedName name="___TCA704">#REF!</definedName>
    <definedName name="BuiltIn_Print_Area___0___0">#REF!</definedName>
    <definedName name="MIERCOLES">#REF!</definedName>
    <definedName name="Nombre">#REF!</definedName>
    <definedName name="B_2___0">#REF!</definedName>
    <definedName name="RF2SUP">#REF!</definedName>
    <definedName name="EZIQ1">#REF!</definedName>
    <definedName name="areaname3">#REF!</definedName>
    <definedName name="___________________A4">#REF!</definedName>
    <definedName name="sema7">#REF!</definedName>
    <definedName name="PSEC_2P">#REF!</definedName>
    <definedName name="TOTSHE15">#REF!</definedName>
    <definedName name="_______________S1">#REF!</definedName>
    <definedName name="PTH_3NT">#REF!</definedName>
    <definedName name="gguuu">#REF!</definedName>
    <definedName name="Mov_Faena">#REF!</definedName>
    <definedName name="_iii3">#REF!</definedName>
    <definedName name="Nivel_2_p1">#REF!</definedName>
    <definedName name="SHARED_FORMULA_20">#REF!</definedName>
    <definedName name="GRIFERIA">#REF!</definedName>
    <definedName name="GGGGG">#REF!</definedName>
    <definedName name="TD">#REF!</definedName>
    <definedName name="P1_i_femenina_P3">#REF!</definedName>
    <definedName name="_MED2a_ratio_p2">#REF!</definedName>
    <definedName name="E_6_1">#REF!</definedName>
    <definedName name="Kh_04b">#REF!</definedName>
    <definedName name="Prob">#REF!</definedName>
    <definedName name="Area_de_impresión1">#REF!</definedName>
    <definedName name="PTH_2">#REF!</definedName>
    <definedName name="MANF80">#REF!</definedName>
    <definedName name="__TP008">#REF!</definedName>
    <definedName name="SHARED_FORMULA_33">#REF!</definedName>
    <definedName name="GGS">#REF!</definedName>
    <definedName name="_______f2set">#REF!</definedName>
    <definedName name="RECURSOS">#REF!</definedName>
    <definedName name="__AA69375">#REF!</definedName>
    <definedName name="_____________________A4">#REF!</definedName>
    <definedName name="E_3S">#REF!</definedName>
    <definedName name="fbd">#REF!</definedName>
    <definedName name="_________A2">#REF!</definedName>
    <definedName name="POSTES">#REF!</definedName>
    <definedName name="_f2glob01">#REF!</definedName>
    <definedName name="LISTADO">#REF!</definedName>
    <definedName name="C_2___0">#REF!</definedName>
    <definedName name="BIWEEK">#REF!</definedName>
    <definedName name="Val_24">#REF!</definedName>
    <definedName name="_fff48">#REF!</definedName>
    <definedName name="Mv_total">#REF!</definedName>
    <definedName name="______A3">#REF!</definedName>
    <definedName name="Perímetro_sótano">#REF!</definedName>
    <definedName name="___f2glob01">#REF!</definedName>
    <definedName name="N__FUND____1">#REF!</definedName>
    <definedName name="PRIOR">#REF!</definedName>
    <definedName name="ubom">#REF!</definedName>
    <definedName name="sema18">#REF!</definedName>
    <definedName name="_iii7">#REF!</definedName>
    <definedName name="TOTSHE12">#REF!</definedName>
    <definedName name="ASAS">#REF!</definedName>
    <definedName name="pat_3">#REF!</definedName>
    <definedName name="Año_0_5">#REF!</definedName>
    <definedName name="_pu2">#REF!</definedName>
    <definedName name="SUBCON">#REF!</definedName>
    <definedName name="_pu8">#REF!</definedName>
    <definedName name="by">#REF!</definedName>
    <definedName name="situacion_juridica">#REF!</definedName>
    <definedName name="__AA80220">#REF!</definedName>
    <definedName name="Detalle">#REF!</definedName>
    <definedName name="PLANILLA___SEMANA_5">#REF!</definedName>
    <definedName name="VOL__TOT____1">#REF!</definedName>
    <definedName name="__TB4">#REF!</definedName>
    <definedName name="cabezalsalida">#REF!</definedName>
    <definedName name="año_9">#REF!</definedName>
    <definedName name="_______________f3set">#REF!</definedName>
    <definedName name="IMPLEM">#REF!</definedName>
    <definedName name="E_4S">#REF!</definedName>
    <definedName name="_____________f3encode">#REF!</definedName>
    <definedName name="__F15p">#REF!</definedName>
    <definedName name="___________f3ang02">#REF!</definedName>
    <definedName name="Nombre_del_Proyecto">#REF!</definedName>
    <definedName name="AQQAQ">#REF!</definedName>
    <definedName name="anterior">#REF!</definedName>
    <definedName name="FAR2_ce_c_p3">#REF!</definedName>
    <definedName name="___________S1">#REF!</definedName>
    <definedName name="B02_">#REF!</definedName>
    <definedName name="_________f2glob01">#REF!</definedName>
    <definedName name="_1er_año_ce_p1">#REF!</definedName>
    <definedName name="_MED3d_ratio_p3">#REF!</definedName>
    <definedName name="Val_36">#REF!</definedName>
    <definedName name="PA2_1NT">#REF!</definedName>
    <definedName name="_Partos_cesareas_">#REF!</definedName>
    <definedName name="B01____4">#REF!</definedName>
    <definedName name="Val_25">#REF!</definedName>
    <definedName name="B05_">#REF!</definedName>
    <definedName name="sema14">#REF!</definedName>
    <definedName name="_MED2e_ratio_p2">#REF!</definedName>
    <definedName name="BuiltIn_Print_Area___0___0___0">#REF!</definedName>
    <definedName name="__TB10">#REF!</definedName>
    <definedName name="Val_35">#REF!</definedName>
    <definedName name="__123Graph_XGRA1">#REF!</definedName>
    <definedName name="PA1_0_M">#REF!</definedName>
    <definedName name="___________f1cad">#REF!</definedName>
    <definedName name="_____________f3set01">#REF!</definedName>
    <definedName name="Excel_BuiltIn_Database_5">#REF!</definedName>
    <definedName name="SHEET3">#REF!</definedName>
    <definedName name="_fff3">#REF!</definedName>
    <definedName name="_____________f2ango01">#REF!</definedName>
    <definedName name="_________f2ango02">#REF!</definedName>
    <definedName name="pob">#REF!</definedName>
    <definedName name="AÑO_4">#REF!</definedName>
    <definedName name="CANT____2">#REF!</definedName>
    <definedName name="___Ind5">#REF!</definedName>
    <definedName name="Tac_ce_c_p3">#REF!</definedName>
    <definedName name="PRIMERA">#REF!</definedName>
    <definedName name="_F72_">#REF!</definedName>
    <definedName name="confilm">#REF!</definedName>
    <definedName name="SHEET12">#REF!</definedName>
    <definedName name="PAT_3_M">#REF!</definedName>
    <definedName name="piedrag">#REF!</definedName>
    <definedName name="Previo_3">#REF!</definedName>
    <definedName name="Planilla_29">#REF!</definedName>
    <definedName name="q_1">#REF!</definedName>
    <definedName name="Fecha3">#REF!</definedName>
    <definedName name="_MET1">#REF!</definedName>
    <definedName name="__JUN07">#REF!</definedName>
    <definedName name="_______TP006">#REF!</definedName>
    <definedName name="BASES">#REF!</definedName>
    <definedName name="Edades">#REF!</definedName>
    <definedName name="PTV_3N">#REF!</definedName>
    <definedName name="gcon_">#REF!</definedName>
    <definedName name="_ALT2">#REF!</definedName>
    <definedName name="RBAH">#REF!</definedName>
    <definedName name="clavos">#REF!</definedName>
    <definedName name="___BUT78">#REF!</definedName>
    <definedName name="A_2___3">#REF!</definedName>
    <definedName name="lucho6">#REF!</definedName>
    <definedName name="B01____1">#REF!</definedName>
    <definedName name="r_costo_2">#REF!</definedName>
    <definedName name="FNC">#REF!</definedName>
    <definedName name="___________A1">#REF!</definedName>
    <definedName name="qwqwqwq">#REF!</definedName>
    <definedName name="ude">#REF!</definedName>
    <definedName name="_INT4_EMG_p3">#REF!</definedName>
    <definedName name="_____________f3enco01">#REF!</definedName>
    <definedName name="PR3_1NT">#REF!</definedName>
    <definedName name="PSEC_3">#REF!</definedName>
    <definedName name="B02____1">#REF!</definedName>
    <definedName name="P_9">#REF!</definedName>
    <definedName name="Planilla_17">#REF!</definedName>
    <definedName name="API">#REF!</definedName>
    <definedName name="TOPOGRAFIA">#REF!</definedName>
    <definedName name="cccc___1">#REF!</definedName>
    <definedName name="B_1___2">#REF!</definedName>
    <definedName name="Excel_BuiltIn__FilterDatabase_12">#REF!</definedName>
    <definedName name="qwssf">#REF!</definedName>
    <definedName name="____asp2">#REF!</definedName>
    <definedName name="PSEC_2">#REF!</definedName>
    <definedName name="_____________________A5">#REF!</definedName>
    <definedName name="PTH_3">#REF!</definedName>
    <definedName name="sema2">#REF!</definedName>
    <definedName name="gterr1_">#REF!</definedName>
    <definedName name="FSD">#REF!</definedName>
    <definedName name="PSEC_3NP">#REF!</definedName>
    <definedName name="PRECIO">#REF!</definedName>
    <definedName name="__ALT2">#REF!</definedName>
    <definedName name="K">#REF!</definedName>
    <definedName name="RI">#REF!</definedName>
    <definedName name="SHEET25">#REF!</definedName>
    <definedName name="costri">#REF!</definedName>
    <definedName name="tiempo_de_sentencia">#REF!</definedName>
    <definedName name="PAST_C">#REF!</definedName>
    <definedName name="__Var1">#REF!</definedName>
    <definedName name="Val_05">#REF!</definedName>
    <definedName name="SHARED_FORMULA_10">#REF!</definedName>
    <definedName name="Val_56">#REF!</definedName>
    <definedName name="Equipo">#REF!</definedName>
    <definedName name="__BUT78">#REF!</definedName>
    <definedName name="_OBS1_plan_ratio_p1_">#REF!</definedName>
    <definedName name="LUM_70">#REF!</definedName>
    <definedName name="S2_2">#REF!</definedName>
    <definedName name="Val_42">#REF!</definedName>
    <definedName name="B02____3">#REF!</definedName>
    <definedName name="MANF22">#REF!</definedName>
    <definedName name="planilla_08">#REF!</definedName>
    <definedName name="__pu1">#REF!</definedName>
    <definedName name="PR3_1NT_M">#REF!</definedName>
    <definedName name="BuiltIn_Print_Area___0___0___1">#REF!</definedName>
    <definedName name="____TP002">#REF!</definedName>
    <definedName name="Input_An">#REF!</definedName>
    <definedName name="_UCI5_c_p3">#REF!</definedName>
    <definedName name="Mtotal">#REF!</definedName>
    <definedName name="_____A4">#REF!</definedName>
    <definedName name="Aseg_NoPobre_p3">#REF!</definedName>
    <definedName name="SHARED_FORMULA_4">#REF!</definedName>
    <definedName name="AREANAME4">#REF!</definedName>
    <definedName name="Z">#REF!</definedName>
    <definedName name="MANT1">#REF!</definedName>
    <definedName name="NoAcude_NoAseg_Pobre_p3">#REF!</definedName>
    <definedName name="Retencion">#REF!</definedName>
    <definedName name="DFFFF">#REF!</definedName>
    <definedName name="Val_39">#REF!</definedName>
    <definedName name="uss">#REF!</definedName>
    <definedName name="u">#REF!</definedName>
    <definedName name="E_5S">#REF!</definedName>
    <definedName name="_ENF2h_ratio_p2">#REF!</definedName>
    <definedName name="PAT_2E">#REF!</definedName>
    <definedName name="AFPYN">#REF!</definedName>
    <definedName name="fy_">#REF!</definedName>
    <definedName name="____TP007">#REF!</definedName>
    <definedName name="ZETA">#REF!</definedName>
    <definedName name="___________________A5">#REF!</definedName>
    <definedName name="alf_s">#REF!</definedName>
    <definedName name="pu6mm">#REF!</definedName>
    <definedName name="_2_2__OPTI">#REF!</definedName>
    <definedName name="dobladora">#REF!</definedName>
    <definedName name="_AA70517">#REF!</definedName>
    <definedName name="SHEET18">#REF!</definedName>
    <definedName name="___AA70517">#REF!</definedName>
    <definedName name="Oxiginista">#REF!</definedName>
    <definedName name="____TP016">#REF!</definedName>
    <definedName name="SHARED_FORMULA_11">#REF!</definedName>
    <definedName name="BuiltIn_AutoFilter___2">#REF!</definedName>
    <definedName name="_ENF2a_c_p2">#REF!</definedName>
    <definedName name="Lz1f_">#REF!</definedName>
    <definedName name="_fff5">#REF!</definedName>
    <definedName name="MANF18">#REF!</definedName>
    <definedName name="_________f1set">#REF!</definedName>
    <definedName name="Val_06">#REF!</definedName>
    <definedName name="_pu3">#REF!</definedName>
    <definedName name="PS1_3">#REF!</definedName>
    <definedName name="A_10">#REF!</definedName>
    <definedName name="EDEDEW">#REF!</definedName>
    <definedName name="InvInc_Mat">#REF!</definedName>
    <definedName name="ILNI">#REF!</definedName>
    <definedName name="planilla_07">#REF!</definedName>
    <definedName name="_____f2set">#REF!</definedName>
    <definedName name="MANF17">#REF!</definedName>
    <definedName name="_AA69375">#REF!</definedName>
    <definedName name="PAT_M">#REF!</definedName>
    <definedName name="TOTSHE11">#REF!</definedName>
    <definedName name="___TOR10">#REF!</definedName>
    <definedName name="GenDetail">#REF!</definedName>
    <definedName name="SHARED_FORMULA_29">#REF!</definedName>
    <definedName name="SHEET17">#REF!</definedName>
    <definedName name="_______f3ang02">#REF!</definedName>
    <definedName name="moe">#REF!</definedName>
    <definedName name="B04____3">#REF!</definedName>
    <definedName name="longitudmuro">#REF!</definedName>
    <definedName name="_________f2set">#REF!</definedName>
    <definedName name="_______TP013">#REF!</definedName>
    <definedName name="sema20">#REF!</definedName>
    <definedName name="MASTER">#REF!</definedName>
    <definedName name="_fff17">#REF!</definedName>
    <definedName name="q_11">#REF!</definedName>
    <definedName name="IPC">#REF!</definedName>
    <definedName name="_OBS1_c_p2">#REF!</definedName>
    <definedName name="_UCI1_c_p3">#REF!</definedName>
    <definedName name="Atenciones_6">#REF!</definedName>
    <definedName name="A_1">#REF!</definedName>
    <definedName name="TIPO_DE_BASE___2">#REF!</definedName>
    <definedName name="Inicio2">#REF!</definedName>
    <definedName name="qmax_m">#REF!</definedName>
    <definedName name="equipocorte">#REF!</definedName>
    <definedName name="Inversiones">#REF!</definedName>
    <definedName name="MINSA_NoAseg_NoPobre_p1">#REF!</definedName>
    <definedName name="__pu11">#REF!</definedName>
    <definedName name="sema31">#REF!</definedName>
    <definedName name="SHARED_FORMULA_22">#REF!</definedName>
    <definedName name="COSTS_A">#REF!</definedName>
    <definedName name="___________f3enco01">#REF!</definedName>
    <definedName name="A_1___1">#REF!</definedName>
    <definedName name="cccc">#REF!</definedName>
    <definedName name="PROYECTISTA">#REF!</definedName>
    <definedName name="___TP001">#REF!</definedName>
    <definedName name="_EMG4_Obs_c_p3">#REF!</definedName>
    <definedName name="Varillasx_m">#REF!</definedName>
    <definedName name="QQQA">#REF!</definedName>
    <definedName name="B02____4">#REF!</definedName>
    <definedName name="Iy">#REF!</definedName>
    <definedName name="TIPO_DE_BASE">#REF!</definedName>
    <definedName name="Año_0_7">#REF!</definedName>
    <definedName name="__TP001">#REF!</definedName>
    <definedName name="_____A5">#REF!</definedName>
    <definedName name="MANF90">#REF!</definedName>
    <definedName name="Var_bi">#REF!</definedName>
    <definedName name="_F34_">#REF!</definedName>
    <definedName name="SBM_2">#REF!</definedName>
    <definedName name="SHARED_FORMULA_12">#REF!</definedName>
    <definedName name="SHARED_FORMULA_16">#REF!</definedName>
    <definedName name="_EPD15">#REF!</definedName>
    <definedName name="MED2f_c_p3">#REF!</definedName>
    <definedName name="data6">#REF!</definedName>
    <definedName name="_______________f3set01">#REF!</definedName>
    <definedName name="RI_A">#REF!</definedName>
    <definedName name="_______TP009">#REF!</definedName>
    <definedName name="_CIE99">#REF!</definedName>
    <definedName name="Operador_Maquinaria_Pesada">#REF!</definedName>
    <definedName name="martillo">#REF!</definedName>
    <definedName name="REQ">#REF!</definedName>
    <definedName name="sika1">#REF!</definedName>
    <definedName name="_____________________A3">#REF!</definedName>
    <definedName name="_____f3enco02">#REF!</definedName>
    <definedName name="Planilla_44">#REF!</definedName>
    <definedName name="Val_30">#REF!</definedName>
    <definedName name="__A5">#REF!</definedName>
    <definedName name="PAGE1">#REF!</definedName>
    <definedName name="TIPO_DE_BASE___1">#REF!</definedName>
    <definedName name="MANF13">#REF!</definedName>
    <definedName name="a_6">#REF!</definedName>
    <definedName name="Almacén_sótano">#REF!</definedName>
    <definedName name="ODCDesc">#REF!</definedName>
    <definedName name="POBDPTO06">#REF!</definedName>
    <definedName name="AFNIT">#REF!</definedName>
    <definedName name="_f3ang02">#REF!</definedName>
    <definedName name="SHARED_FORMULA_36">#REF!</definedName>
    <definedName name="Lx1_m">#REF!</definedName>
    <definedName name="Protec">#REF!</definedName>
    <definedName name="SHEET11">#REF!</definedName>
    <definedName name="_EMG2a_c_p3">#REF!</definedName>
    <definedName name="MINSA_Aseg_Pobre_p1">#REF!</definedName>
    <definedName name="tab_005r">#REF!</definedName>
    <definedName name="_____________f3set">#REF!</definedName>
    <definedName name="SUSTENTO6">#REF!</definedName>
    <definedName name="_MED3b_ratio_p3">#REF!</definedName>
    <definedName name="O.84">#REF!</definedName>
    <definedName name="AE">#REF!</definedName>
    <definedName name="Atenciones_5">#REF!</definedName>
    <definedName name="COST">#REF!</definedName>
    <definedName name="SALUD">#REF!</definedName>
    <definedName name="MANF89">#REF!</definedName>
    <definedName name="Planilla_38">#REF!</definedName>
    <definedName name="Shear_Ratio">#REF!</definedName>
    <definedName name="Stl_Cap_Tension">#REF!</definedName>
    <definedName name="_AA502400">#REF!</definedName>
    <definedName name="TOTAL_ELEMENTOS_SEGURIDAD">#REF!</definedName>
    <definedName name="cccc___0">#REF!</definedName>
    <definedName name="SHEET22">#REF!</definedName>
    <definedName name="COST_C">#REF!</definedName>
    <definedName name="PROGDES">#REF!</definedName>
    <definedName name="anterior_5">#REF!</definedName>
    <definedName name="E_1">#REF!</definedName>
    <definedName name="e_2">#REF!</definedName>
    <definedName name="PSEC_0_M">#REF!</definedName>
    <definedName name="PA1_1N_M">#REF!</definedName>
    <definedName name="Soldador_Calificado_6G">#REF!</definedName>
    <definedName name="___pu5">#REF!</definedName>
    <definedName name="___TOR14">#REF!</definedName>
    <definedName name="Planilla_31">#REF!</definedName>
    <definedName name="uga">#REF!</definedName>
    <definedName name="Excel_BuiltIn_Database_1">#REF!</definedName>
    <definedName name="lfx">#REF!</definedName>
    <definedName name="P_15">#REF!</definedName>
    <definedName name="_______TP008">#REF!</definedName>
    <definedName name="uca">#REF!</definedName>
    <definedName name="FACANGORA2">#REF!</definedName>
    <definedName name="TOTSHE5">#REF!</definedName>
    <definedName name="LAB3_emer_c_p3">#REF!</definedName>
    <definedName name="_________A4">#REF!</definedName>
    <definedName name="s_c">#REF!</definedName>
    <definedName name="Lx1f">#REF!</definedName>
    <definedName name="BuscarMerfi">#REF!</definedName>
    <definedName name="all">#REF!</definedName>
    <definedName name="No">#REF!</definedName>
    <definedName name="_______f2global">#REF!</definedName>
    <definedName name="___AA69375">#REF!</definedName>
    <definedName name="FCST95">#REF!</definedName>
    <definedName name="_fff19">#REF!</definedName>
    <definedName name="Amm">#REF!</definedName>
    <definedName name="E_6_1S">#REF!</definedName>
    <definedName name="_MED3S_ratio_p3">#REF!</definedName>
    <definedName name="_pu5">#REF!</definedName>
    <definedName name="SM">#REF!</definedName>
    <definedName name="Capataz_Obras_Civiles">#REF!</definedName>
    <definedName name="_A1">#REF!</definedName>
    <definedName name="Perímetro_tienda">#REF!</definedName>
    <definedName name="pp">#REF!</definedName>
    <definedName name="anterior_6">#REF!</definedName>
    <definedName name="q1f">#REF!</definedName>
    <definedName name="Excel_BuiltIn_Database_3">#REF!</definedName>
    <definedName name="COLH">#REF!</definedName>
    <definedName name="WSW">#REF!</definedName>
    <definedName name="CHAN">#REF!</definedName>
    <definedName name="balance_7">#REF!</definedName>
    <definedName name="Vn">#REF!</definedName>
    <definedName name="A_3">#REF!</definedName>
    <definedName name="SHARED_FORMULA_30">#REF!</definedName>
    <definedName name="_ENF2d_ratio_p2">#REF!</definedName>
    <definedName name="crono">#REF!</definedName>
    <definedName name="______">#REF!</definedName>
    <definedName name="_MED3U_c_p3">#REF!</definedName>
    <definedName name="prove">#REF!</definedName>
    <definedName name="_MED3p_ratio_p3">#REF!</definedName>
    <definedName name="GU">#REF!</definedName>
    <definedName name="Val_51">#REF!</definedName>
    <definedName name="___AA999999">#REF!</definedName>
    <definedName name="PSER_0_M">#REF!</definedName>
    <definedName name="_F31_">#REF!</definedName>
    <definedName name="___TP014">#REF!</definedName>
    <definedName name="Aseg_Pobre_p1">#REF!</definedName>
    <definedName name="_____f2enco01">#REF!</definedName>
    <definedName name="ghj">#REF!</definedName>
    <definedName name="A_9">#REF!</definedName>
    <definedName name="NoAseg_NoPobre_p2">#REF!</definedName>
    <definedName name="GGG">#REF!</definedName>
    <definedName name="_f3encode">#REF!</definedName>
    <definedName name="Varillasz">#REF!</definedName>
    <definedName name="ss___0">#REF!</definedName>
    <definedName name="AT">#REF!</definedName>
    <definedName name="_f3set01">#REF!</definedName>
    <definedName name="PSV_2">#REF!</definedName>
    <definedName name="planilla_01">#REF!</definedName>
    <definedName name="EDEDEE">#REF!</definedName>
    <definedName name="Mux_m">#REF!</definedName>
    <definedName name="PA3_0">#REF!</definedName>
    <definedName name="Lx1f_">#REF!</definedName>
    <definedName name="_MED3U_ratio_p3">#REF!</definedName>
    <definedName name="Maestro_2">#REF!</definedName>
    <definedName name="Lista_de_Modelos">#REF!</definedName>
    <definedName name="FE">#REF!</definedName>
    <definedName name="Planilla_22">#REF!</definedName>
    <definedName name="___________A4">#REF!</definedName>
    <definedName name="B_2___4">#REF!</definedName>
    <definedName name="Val_Acum">#REF!</definedName>
    <definedName name="Mz_1">#REF!</definedName>
    <definedName name="P1_i_gestantes_P3">#REF!</definedName>
    <definedName name="balance_1">#REF!</definedName>
    <definedName name="ACER.">#REF!</definedName>
    <definedName name="AA5051901E">#REF!</definedName>
    <definedName name="SHEET20">#REF!</definedName>
    <definedName name="fact5">#REF!</definedName>
    <definedName name="PR3_1N_M">#REF!</definedName>
    <definedName name="_EMG2c_c_p3">#REF!</definedName>
    <definedName name="caa">#REF!</definedName>
    <definedName name="__say1">#REF!</definedName>
    <definedName name="peat">#REF!</definedName>
    <definedName name="EDED">#REF!</definedName>
    <definedName name="sema5">#REF!</definedName>
    <definedName name="_________f3glob01">#REF!</definedName>
    <definedName name="__TP015">#REF!</definedName>
    <definedName name="MRH1_c_p3">#REF!</definedName>
    <definedName name="_INT5_p3">#REF!</definedName>
    <definedName name="eeeeee___0">#REF!</definedName>
    <definedName name="_38_0_0_F">#REF!</definedName>
    <definedName name="anterior_8">#REF!</definedName>
    <definedName name="PAST_C_BT">#REF!</definedName>
    <definedName name="_iii38">#REF!</definedName>
    <definedName name="TOTSHE26">#REF!</definedName>
    <definedName name="___TP008">#REF!</definedName>
    <definedName name="EqAlterna2">#REF!</definedName>
    <definedName name="A_2">#REF!</definedName>
    <definedName name="COPY">#REF!</definedName>
    <definedName name="___________fac02">#REF!</definedName>
    <definedName name="_TOP3k_c_p3">#REF!</definedName>
    <definedName name="____TP013">#REF!</definedName>
    <definedName name="S1_2">#REF!</definedName>
    <definedName name="N3_">#REF!</definedName>
    <definedName name="Fórmula_03">#REF!</definedName>
    <definedName name="CANT____0">#REF!</definedName>
    <definedName name="sema32">#REF!</definedName>
    <definedName name="PA2_1N_M">#REF!</definedName>
    <definedName name="_MED3l_c_p3">#REF!</definedName>
    <definedName name="PA2_3">#REF!</definedName>
    <definedName name="arenag">#REF!</definedName>
    <definedName name="Val_19">#REF!</definedName>
    <definedName name="_____________A4">#REF!</definedName>
    <definedName name="planilla_06">#REF!</definedName>
    <definedName name="Compresora">#REF!</definedName>
    <definedName name="nuevatabla">#REF!</definedName>
    <definedName name="AFN">#REF!</definedName>
    <definedName name="HOA">#REF!</definedName>
    <definedName name="PLANILLA___SEMANA_3">#REF!</definedName>
    <definedName name="SMM_1P">#REF!</definedName>
    <definedName name="_ENF2f_ratio_p2">#REF!</definedName>
    <definedName name="_Ind5">#REF!</definedName>
    <definedName name="_ENF2b_ratio_p2">#REF!</definedName>
    <definedName name="_____f2angora">#REF!</definedName>
    <definedName name="____">#REF!</definedName>
    <definedName name="cz1f">#REF!</definedName>
    <definedName name="eefftri">#REF!</definedName>
    <definedName name="__A3">#REF!</definedName>
    <definedName name="Quimisolven">#REF!</definedName>
    <definedName name="Planilla_09">#REF!</definedName>
    <definedName name="Concretero">#REF!</definedName>
    <definedName name="Planilla_46">#REF!</definedName>
    <definedName name="PTH_3N">#REF!</definedName>
    <definedName name="___TP016">#REF!</definedName>
    <definedName name="___f2set01">#REF!</definedName>
    <definedName name="____A5">#REF!</definedName>
    <definedName name="umo">#REF!</definedName>
    <definedName name="_TOP3j1_c_p3">#REF!</definedName>
    <definedName name="buscar">#REF!</definedName>
    <definedName name="hoBFOut">#REF!</definedName>
    <definedName name="Var_ped_z">#REF!</definedName>
    <definedName name="uttm">#REF!</definedName>
    <definedName name="_fff62">#REF!</definedName>
    <definedName name="_______A4">#REF!</definedName>
    <definedName name="A_16">#REF!</definedName>
    <definedName name="sellador">#REF!</definedName>
    <definedName name="P3EF">#REF!</definedName>
    <definedName name="_f3set">#REF!</definedName>
    <definedName name="irma">#REF!</definedName>
    <definedName name="ES">#REF!</definedName>
    <definedName name="yute">#REF!</definedName>
    <definedName name="Dolar">#REF!</definedName>
    <definedName name="_____f2enco02">#REF!</definedName>
    <definedName name="_F50_">#REF!</definedName>
    <definedName name="REFERENCIA_PLANO">#REF!</definedName>
    <definedName name="SHEET14">#REF!</definedName>
    <definedName name="N1_">#REF!</definedName>
    <definedName name="MOBRA">#REF!</definedName>
    <definedName name="Previo">#REF!</definedName>
    <definedName name="ESA">#REF!</definedName>
    <definedName name="BuiltIn_AutoFilter___1">#REF!</definedName>
    <definedName name="_________________________S1">#REF!</definedName>
    <definedName name="___________f2enco02">#REF!</definedName>
    <definedName name="_____________f1cad">#REF!</definedName>
    <definedName name="PA3_3N">#REF!</definedName>
    <definedName name="_______f2glob01">#REF!</definedName>
    <definedName name="B07____1">#REF!</definedName>
    <definedName name="_Parse_Out">#REF!</definedName>
    <definedName name="Val_33">#REF!</definedName>
    <definedName name="TOTSHE14">#REF!</definedName>
    <definedName name="_AA503115">#REF!</definedName>
    <definedName name="radio">#REF!</definedName>
    <definedName name="__TP003">#REF!</definedName>
    <definedName name="DT_0">#REF!</definedName>
    <definedName name="_iii19">#REF!</definedName>
    <definedName name="C_2___1">#REF!</definedName>
    <definedName name="rWorkWeek">#REF!</definedName>
    <definedName name="_MED3n_c_p3">#REF!</definedName>
    <definedName name="___________f3encode">#REF!</definedName>
    <definedName name="_TOP3m1_c_p3">#REF!</definedName>
    <definedName name="_____________f3angora">#REF!</definedName>
    <definedName name="sema47">#REF!</definedName>
    <definedName name="Val_15">#REF!</definedName>
    <definedName name="Nivel_2_p2">#REF!</definedName>
    <definedName name="jajajaja">#REF!</definedName>
    <definedName name="Database">#REF!</definedName>
    <definedName name="NOM">#REF!</definedName>
    <definedName name="TITULOS_A_IMPRIMIR">#REF!</definedName>
    <definedName name="_PSQ3_c_p2">#REF!</definedName>
    <definedName name="_Sort">#REF!</definedName>
    <definedName name="A_1___0">#REF!</definedName>
    <definedName name="Val_44">#REF!</definedName>
    <definedName name="_______f3enco02">#REF!</definedName>
    <definedName name="Tac_Trauma_Shock_c_p3">#REF!</definedName>
    <definedName name="lucho1">#REF!</definedName>
    <definedName name="E_1_1S">#REF!</definedName>
    <definedName name="_______________f3angora">#REF!</definedName>
    <definedName name="____n2">#REF!</definedName>
    <definedName name="HT">#REF!</definedName>
    <definedName name="B08____2">#REF!</definedName>
    <definedName name="PA1_0">#REF!</definedName>
    <definedName name="STB">#REF!</definedName>
    <definedName name="UTI">#REF!</definedName>
    <definedName name="ocupación">#REF!</definedName>
    <definedName name="E_6S">#REF!</definedName>
    <definedName name="Dmax2">#REF!</definedName>
    <definedName name="Planilla_41">#REF!</definedName>
    <definedName name="AQX1_c_p3">#REF!</definedName>
    <definedName name="SHARED_FORMULA_14">#REF!</definedName>
    <definedName name="DRA_PIURA___3">#REF!</definedName>
    <definedName name="Val_26">#REF!</definedName>
    <definedName name="Val_32">#REF!</definedName>
    <definedName name="CONC140">#REF!</definedName>
    <definedName name="Mes">#REF!</definedName>
    <definedName name="DE">#REF!</definedName>
    <definedName name="MaestroMayor_Cañerías_Mecánica">#REF!</definedName>
    <definedName name="_____fac03">#REF!</definedName>
    <definedName name="_AA90088">#REF!</definedName>
    <definedName name="BuiltIn_AutoFilter___4">#REF!</definedName>
    <definedName name="Aseg_NoPobre_p1">#REF!</definedName>
    <definedName name="__S1">#REF!</definedName>
    <definedName name="_fff11">#REF!</definedName>
    <definedName name="N__FUND_">#REF!</definedName>
    <definedName name="B01_">#REF!</definedName>
    <definedName name="costoAcero">#REF!</definedName>
    <definedName name="q_13">#REF!</definedName>
    <definedName name="Muz_m">#REF!</definedName>
    <definedName name="_AA999999">#REF!</definedName>
    <definedName name="__pu6">#REF!</definedName>
    <definedName name="Area_piso3">#REF!</definedName>
    <definedName name="PAST_M_MT">#REF!</definedName>
    <definedName name="ROxxx">#REF!</definedName>
    <definedName name="mirko">#REF!</definedName>
    <definedName name="_MED3l_ratio_p3">#REF!</definedName>
    <definedName name="Mz">#REF!</definedName>
    <definedName name="PSEC_0">#REF!</definedName>
    <definedName name="OPP">#REF!</definedName>
    <definedName name="_iii24">#REF!</definedName>
    <definedName name="_________________________n1">#REF!</definedName>
    <definedName name="E_5">#REF!</definedName>
    <definedName name="_ENF2d_p2">#REF!</definedName>
    <definedName name="h_04">#REF!</definedName>
    <definedName name="____A4">#REF!</definedName>
    <definedName name="irma1">#REF!</definedName>
    <definedName name="Planilla_11">#REF!</definedName>
    <definedName name="B04____2">#REF!</definedName>
    <definedName name="Leyes_Sociales">#REF!</definedName>
    <definedName name="qd">#REF!</definedName>
    <definedName name="Val_12">#REF!</definedName>
    <definedName name="_______f1cad">#REF!</definedName>
    <definedName name="ewfrw">#REF!</definedName>
    <definedName name="FECHA_FIN_OBRA">#REF!</definedName>
    <definedName name="TIPOCE">#REF!</definedName>
    <definedName name="_QTY1">#REF!</definedName>
    <definedName name="Recorder">#REF!</definedName>
    <definedName name="VOL____1">#REF!</definedName>
    <definedName name="Cesarea_c_p3">#REF!</definedName>
    <definedName name="Incremento">#REF!</definedName>
    <definedName name="________S1">#REF!</definedName>
    <definedName name="Classification">#REF!</definedName>
    <definedName name="dfsdf">#REF!</definedName>
    <definedName name="PS1_2">#REF!</definedName>
    <definedName name="Año_0_6">#REF!</definedName>
    <definedName name="A_7">#REF!</definedName>
    <definedName name="q2f">#REF!</definedName>
    <definedName name="_________f3glob">#REF!</definedName>
    <definedName name="_TOP3m_c_p3">#REF!</definedName>
    <definedName name="ACCESORIOS">#REF!</definedName>
    <definedName name="sema6">#REF!</definedName>
    <definedName name="Varillasx">#REF!</definedName>
    <definedName name="STRUT">#REF!</definedName>
    <definedName name="SBM_2P">#REF!</definedName>
    <definedName name="alturamuro">#REF!</definedName>
    <definedName name="ertreq">#REF!</definedName>
    <definedName name="apisonadora">#REF!</definedName>
    <definedName name="_A3">#REF!</definedName>
    <definedName name="costri_1">#REF!</definedName>
    <definedName name="qqqq">#REF!</definedName>
    <definedName name="HTA">#REF!</definedName>
    <definedName name="HHT">#REF!</definedName>
    <definedName name="CABEZA6">#REF!</definedName>
    <definedName name="___________f2angora">#REF!</definedName>
    <definedName name="_______________f1set">#REF!</definedName>
    <definedName name="fvic">#REF!</definedName>
    <definedName name="ECO2a_emergencia_c_p3">#REF!</definedName>
    <definedName name="____S1">#REF!</definedName>
    <definedName name="_ENF2a_p2">#REF!</definedName>
    <definedName name="ESTUDIOS">#REF!</definedName>
    <definedName name="___________f2cad">#REF!</definedName>
    <definedName name="DED">#REF!</definedName>
    <definedName name="_Partos_eutocicos_">#REF!</definedName>
    <definedName name="_______TP001">#REF!</definedName>
    <definedName name="PTV_1NT">#REF!</definedName>
    <definedName name="PESOS">#REF!</definedName>
    <definedName name="TIPO_DE_BASE___0">#REF!</definedName>
    <definedName name="v">#REF!</definedName>
    <definedName name="Planilla_21">#REF!</definedName>
    <definedName name="FLETE">#REF!</definedName>
    <definedName name="Importe_parcial">#REF!</definedName>
    <definedName name="_______A5">#REF!</definedName>
    <definedName name="BuiltIn_Print_Area___0___2">#REF!</definedName>
    <definedName name="_MED3n_ratio_p3">#REF!</definedName>
    <definedName name="kj">#REF!</definedName>
    <definedName name="anterior_3">#REF!</definedName>
    <definedName name="Val_34">#REF!</definedName>
    <definedName name="_____f3glob01">#REF!</definedName>
    <definedName name="PS1_2N">#REF!</definedName>
    <definedName name="aC">#REF!</definedName>
    <definedName name="_NUT1_c_p2">#REF!</definedName>
    <definedName name="_f2ango02">#REF!</definedName>
    <definedName name="B1_Dpto_4_1">#REF!</definedName>
    <definedName name="Refine">#REF!</definedName>
    <definedName name="grafico">#REF!</definedName>
    <definedName name="_INT10_p3">#REF!</definedName>
    <definedName name="_MED3b_c_p3">#REF!</definedName>
    <definedName name="Atenciones_7">#REF!</definedName>
    <definedName name="B2_Dpto_4_1">#REF!</definedName>
    <definedName name="Val_47">#REF!</definedName>
    <definedName name="RinconJumbo">#REF!</definedName>
    <definedName name="Codigo_sap">#REF!</definedName>
    <definedName name="_TB1">#REF!</definedName>
    <definedName name="HOURS_C">#REF!</definedName>
    <definedName name="CANT_">#REF!</definedName>
    <definedName name="eefftri_3">#REF!</definedName>
    <definedName name="____TP001">#REF!</definedName>
    <definedName name="PSVE_2">#REF!</definedName>
    <definedName name="Area_piso2">#REF!</definedName>
    <definedName name="shape">#REF!</definedName>
    <definedName name="_TOP3l_c_p3">#REF!</definedName>
    <definedName name="PESO_COLUMNAS">#REF!</definedName>
    <definedName name="usv">#REF!</definedName>
    <definedName name="_TP004">#REF!</definedName>
    <definedName name="_____f2set01">#REF!</definedName>
    <definedName name="__">#REF!</definedName>
    <definedName name="As_ped_maxz">#REF!</definedName>
    <definedName name="Ñ">#REF!</definedName>
    <definedName name="Bbbbbbbbb">#REF!</definedName>
    <definedName name="ECO2a_consulta_c_p3">#REF!</definedName>
    <definedName name="Planilla_26">#REF!</definedName>
    <definedName name="___pu6">#REF!</definedName>
    <definedName name="MINSA_NoAseg_NoPobre_p2">#REF!</definedName>
    <definedName name="_____f3encode">#REF!</definedName>
    <definedName name="PSV_2N">#REF!</definedName>
    <definedName name="Excel_BuiltIn_Database_8">#REF!</definedName>
    <definedName name="___f3encode">#REF!</definedName>
    <definedName name="_60_0_0_F">#REF!</definedName>
    <definedName name="Factor">#REF!</definedName>
    <definedName name="__Ind5">#REF!</definedName>
    <definedName name="_F42_">#REF!</definedName>
    <definedName name="_____________f2cad">#REF!</definedName>
    <definedName name="_________f2angora">#REF!</definedName>
    <definedName name="_AA68936">#REF!</definedName>
    <definedName name="A_IMPRESIÓN_IM">#REF!</definedName>
    <definedName name="___ALT1">#REF!</definedName>
    <definedName name="______n1">#REF!</definedName>
    <definedName name="lk">#REF!</definedName>
    <definedName name="BORDET">#REF!</definedName>
    <definedName name="Previo_1">#REF!</definedName>
    <definedName name="B08_">#REF!</definedName>
    <definedName name="B_2___1">#REF!</definedName>
    <definedName name="PA1_2">#REF!</definedName>
    <definedName name="Porc_Retencion">#REF!</definedName>
    <definedName name="__TB2">#REF!</definedName>
    <definedName name="Nivel_1_p1">#REF!</definedName>
    <definedName name="IF">#REF!</definedName>
    <definedName name="___f2encode">#REF!</definedName>
    <definedName name="Pobre_p1">#REF!</definedName>
    <definedName name="TITLE">#REF!</definedName>
    <definedName name="RESUMEN">#REF!</definedName>
    <definedName name="Val_22">#REF!</definedName>
    <definedName name="B08____3">#REF!</definedName>
    <definedName name="DF">#REF!</definedName>
    <definedName name="_____________f3ang02">#REF!</definedName>
    <definedName name="VOL__TOT____0">#REF!</definedName>
    <definedName name="A_1___2">#REF!</definedName>
    <definedName name="_Ind1">#REF!</definedName>
    <definedName name="___TP006">#REF!</definedName>
    <definedName name="______A5">#REF!</definedName>
    <definedName name="COPY3">#REF!</definedName>
    <definedName name="SSS">#REF!</definedName>
    <definedName name="___AA68936">#REF!</definedName>
    <definedName name="Planilla_33">#REF!</definedName>
    <definedName name="Planilla_30">#REF!</definedName>
    <definedName name="anchomuro">#REF!</definedName>
    <definedName name="B1_Dpto_3_1">#REF!</definedName>
    <definedName name="por">#REF!</definedName>
    <definedName name="SHEET26">#REF!</definedName>
    <definedName name="ADQWD">#REF!</definedName>
    <definedName name="PA1_1N">#REF!</definedName>
    <definedName name="PA3_2N">#REF!</definedName>
    <definedName name="cargaretroexcavadora">#REF!</definedName>
    <definedName name="_n1">#REF!</definedName>
    <definedName name="______S1">#REF!</definedName>
    <definedName name="________A4">#REF!</definedName>
    <definedName name="_fff39">#REF!</definedName>
    <definedName name="_TOP3g_c_p3">#REF!</definedName>
    <definedName name="wwww">#REF!</definedName>
    <definedName name="MINSA_Aseg_Pobre_p2">#REF!</definedName>
    <definedName name="_____A2">#REF!</definedName>
    <definedName name="VOL____3">#REF!</definedName>
    <definedName name="_MED2_c_p3">#REF!</definedName>
    <definedName name="sema49">#REF!</definedName>
    <definedName name="PA2_1N">#REF!</definedName>
    <definedName name="_fff40">#REF!</definedName>
    <definedName name="_ma5">#REF!</definedName>
    <definedName name="_fff43">#REF!</definedName>
    <definedName name="PLANILLA___SEMANA_10">#REF!</definedName>
    <definedName name="Fórmula_01">#REF!</definedName>
    <definedName name="AÑO_2">#REF!</definedName>
    <definedName name="balance_2">#REF!</definedName>
    <definedName name="___________f2glob01">#REF!</definedName>
    <definedName name="Kp">#REF!</definedName>
    <definedName name="PA1_3NT">#REF!</definedName>
    <definedName name="_____________f2encode">#REF!</definedName>
    <definedName name="_______f2enco02">#REF!</definedName>
    <definedName name="_MED3g_c_p3">#REF!</definedName>
    <definedName name="AA5051901A">#REF!</definedName>
    <definedName name="_TP014">#REF!</definedName>
    <definedName name="xf">#REF!</definedName>
    <definedName name="___Ind1">#REF!</definedName>
    <definedName name="TB">#REF!</definedName>
    <definedName name="FY_1">#REF!</definedName>
    <definedName name="PrimPorc">#REF!</definedName>
    <definedName name="sss___0">#REF!</definedName>
    <definedName name="__TP016">#REF!</definedName>
    <definedName name="_iii56">#REF!</definedName>
    <definedName name="lucho4">#REF!</definedName>
    <definedName name="tiempo_de_reclusion">#REF!</definedName>
    <definedName name="EESS">#REF!</definedName>
    <definedName name="SHARED_FORMULA_26">#REF!</definedName>
    <definedName name="_____f2global">#REF!</definedName>
    <definedName name="_______________A2">#REF!</definedName>
    <definedName name="Costosssss">#REF!</definedName>
    <definedName name="_n2">#REF!</definedName>
    <definedName name="AMI">#REF!</definedName>
    <definedName name="Valor_Contrato">#REF!</definedName>
    <definedName name="___________f2enco01">#REF!</definedName>
    <definedName name="___________f3set">#REF!</definedName>
    <definedName name="Varillasz_m">#REF!</definedName>
    <definedName name="FOCA">#REF!</definedName>
    <definedName name="hef_input">#REF!</definedName>
    <definedName name="L_x1f">#REF!</definedName>
    <definedName name="Manual_An">#REF!</definedName>
    <definedName name="fbi">#REF!</definedName>
    <definedName name="M_v_tot2">#REF!</definedName>
    <definedName name="qsnu_m">#REF!</definedName>
    <definedName name="acero">#REF!</definedName>
    <definedName name="Decremento">#REF!</definedName>
    <definedName name="CHOICE">#REF!</definedName>
    <definedName name="___________________A3">#REF!</definedName>
    <definedName name="PIURA">#REF!</definedName>
    <definedName name="VI">#REF!</definedName>
    <definedName name="B06____0">#REF!</definedName>
    <definedName name="Fórmula_02">#REF!</definedName>
    <definedName name="_MED3j_c_p3">#REF!</definedName>
    <definedName name="eeeeeee">#REF!</definedName>
    <definedName name="C_2">#REF!</definedName>
    <definedName name="base">#REF!</definedName>
    <definedName name="AA5051901C">#REF!</definedName>
    <definedName name="Iz1f">#REF!</definedName>
    <definedName name="RF2GGS">#REF!</definedName>
    <definedName name="cabezalentrada">#REF!</definedName>
    <definedName name="_MED3j_ratio_p3">#REF!</definedName>
    <definedName name="SHARED_FORMULA_35">#REF!</definedName>
    <definedName name="_____n2">#REF!</definedName>
    <definedName name="NUEVAHOJA">#REF!</definedName>
    <definedName name="SHEET21">#REF!</definedName>
    <definedName name="AA5010a">#REF!</definedName>
    <definedName name="B07_">#REF!</definedName>
    <definedName name="StrategyName">#REF!</definedName>
    <definedName name="SISTEMA2">#REF!</definedName>
    <definedName name="B_1___3">#REF!</definedName>
    <definedName name="_37_0_0_F">#REF!</definedName>
    <definedName name="AREA_COLUMNAS">#REF!</definedName>
    <definedName name="Soldador_Plancha">#REF!</definedName>
    <definedName name="_OBS1_fetal_ratio_p1_">#REF!</definedName>
    <definedName name="roz_m">#REF!</definedName>
    <definedName name="_MED3f_c_p3">#REF!</definedName>
    <definedName name="___________A3">#REF!</definedName>
    <definedName name="_________f2enco01">#REF!</definedName>
    <definedName name="laca">#REF!</definedName>
    <definedName name="anterior_7">#REF!</definedName>
    <definedName name="ucctv">#REF!</definedName>
    <definedName name="_____A3">#REF!</definedName>
    <definedName name="Ix1f">#REF!</definedName>
    <definedName name="_____fac02">#REF!</definedName>
    <definedName name="certactual1">#REF!</definedName>
    <definedName name="costri_7">#REF!</definedName>
    <definedName name="____TP015">#REF!</definedName>
    <definedName name="L_z1f">#REF!</definedName>
    <definedName name="gterr">#REF!</definedName>
    <definedName name="QQQQQQQQQQQQQW">#REF!</definedName>
    <definedName name="PORTALINEA">#REF!</definedName>
    <definedName name="Excel_BuiltIn__FilterDatabase_6">#REF!</definedName>
    <definedName name="HORAS_MES">#REF!</definedName>
    <definedName name="TOTSHE2">#REF!</definedName>
    <definedName name="_______A3">#REF!</definedName>
    <definedName name="________A2">#REF!</definedName>
    <definedName name="_pu12">#REF!</definedName>
    <definedName name="____TP014">#REF!</definedName>
    <definedName name="_ATP2_c_p2">#REF!</definedName>
    <definedName name="Jooooo">#REF!</definedName>
    <definedName name="_TB3">#REF!</definedName>
    <definedName name="Inv">#REF!</definedName>
    <definedName name="_________f3ang02">#REF!</definedName>
    <definedName name="Previo_5">#REF!</definedName>
    <definedName name="__ro1">#REF!</definedName>
    <definedName name="precorZ">#REF!</definedName>
    <definedName name="B07____3">#REF!</definedName>
    <definedName name="PROVINCIA_7">#REF!</definedName>
    <definedName name="QTYBASE">#REF!</definedName>
    <definedName name="PA3_1N">#REF!</definedName>
    <definedName name="r_costo">#REF!</definedName>
    <definedName name="_fff72">#REF!</definedName>
    <definedName name="BuiltIn_Print_Titles___1___1">#REF!</definedName>
    <definedName name="___pu3">#REF!</definedName>
    <definedName name="Fx">#REF!</definedName>
    <definedName name="TIPO_DE_BASE___4">#REF!</definedName>
    <definedName name="_f2set">#REF!</definedName>
    <definedName name="_______________________n2">#REF!</definedName>
    <definedName name="IniItems">#REF!</definedName>
    <definedName name="ASDA">#REF!</definedName>
    <definedName name="TOTSHE17">#REF!</definedName>
    <definedName name="Planilla_12">#REF!</definedName>
    <definedName name="__pu2">#REF!</definedName>
    <definedName name="DT">#REF!</definedName>
    <definedName name="paat_1">#REF!</definedName>
    <definedName name="ESA_T1">#REF!</definedName>
    <definedName name="Val_02">#REF!</definedName>
    <definedName name="_______n1">#REF!</definedName>
    <definedName name="_____________f2enco01">#REF!</definedName>
    <definedName name="Bc">#REF!</definedName>
    <definedName name="_pu4">#REF!</definedName>
    <definedName name="_TR4">#REF!</definedName>
    <definedName name="PAG">#REF!</definedName>
    <definedName name="PTV_1N">#REF!</definedName>
    <definedName name="Val_38">#REF!</definedName>
    <definedName name="mayo06">#REF!</definedName>
    <definedName name="Costos_de_Inversion">#REF!</definedName>
    <definedName name="I">#REF!</definedName>
    <definedName name="PS1_1NT">#REF!</definedName>
    <definedName name="PA3_0_M">#REF!</definedName>
    <definedName name="E_3_1">#REF!</definedName>
    <definedName name="PROVINCIA_4">#REF!</definedName>
    <definedName name="WPCN9">#REF!</definedName>
    <definedName name="__TOR10">#REF!</definedName>
    <definedName name="ARTEFACTOS">#REF!</definedName>
    <definedName name="MANF23">#REF!</definedName>
    <definedName name="E_1S">#REF!</definedName>
    <definedName name="Mufz">#REF!</definedName>
    <definedName name="Monto_Total">#REF!</definedName>
    <definedName name="BuiltIn_AutoFilter___5">#REF!</definedName>
    <definedName name="_f2global">#REF!</definedName>
    <definedName name="SUSTENTO7">#REF!</definedName>
    <definedName name="COPIA">#REF!</definedName>
    <definedName name="Dt___4">#REF!</definedName>
    <definedName name="ex_m">#REF!</definedName>
    <definedName name="rProjectNo">#REF!</definedName>
    <definedName name="_____________f3enco02">#REF!</definedName>
    <definedName name="ALTO2">#REF!</definedName>
    <definedName name="dollar">#REF!</definedName>
    <definedName name="ang">#REF!</definedName>
    <definedName name="Madera">#REF!</definedName>
    <definedName name="_Key2">#REF!</definedName>
    <definedName name="_____________A2">#REF!</definedName>
    <definedName name="Mx">#REF!</definedName>
    <definedName name="_ro1">#REF!</definedName>
    <definedName name="_ODN1_p1_">#REF!</definedName>
    <definedName name="_F32_">#REF!</definedName>
    <definedName name="TIPIFICACION">#REF!</definedName>
    <definedName name="Valor_afecto">#REF!</definedName>
    <definedName name="Val_57">#REF!</definedName>
    <definedName name="DISTRITO">#REF!</definedName>
    <definedName name="_MED2b_ratio_p2">#REF!</definedName>
    <definedName name="_______TP007">#REF!</definedName>
    <definedName name="hp3_">#REF!</definedName>
    <definedName name="_________f2set01">#REF!</definedName>
    <definedName name="_____f3set">#REF!</definedName>
    <definedName name="diresa">#REF!</definedName>
    <definedName name="Lz1_m">#REF!</definedName>
    <definedName name="_f3enco02">#REF!</definedName>
    <definedName name="planilla_02">#REF!</definedName>
    <definedName name="_TCA704">#REF!</definedName>
    <definedName name="RI_S">#REF!</definedName>
    <definedName name="hciment">#REF!</definedName>
    <definedName name="B01____0">#REF!</definedName>
    <definedName name="Ns">#REF!</definedName>
    <definedName name="Prob_enf_P3">#REF!</definedName>
    <definedName name="sema36">#REF!</definedName>
    <definedName name="bx">#REF!</definedName>
    <definedName name="CARAT">#REF!</definedName>
    <definedName name="SHEET10">#REF!</definedName>
    <definedName name="TERCERA">#REF!</definedName>
    <definedName name="asp">#REF!</definedName>
    <definedName name="_MED3e_ratio_p3">#REF!</definedName>
    <definedName name="SHEET19">#REF!</definedName>
    <definedName name="P1_i_femenina">#REF!</definedName>
    <definedName name="CostPro">#REF!</definedName>
    <definedName name="Dt___1">#REF!</definedName>
    <definedName name="Tasa">#REF!</definedName>
    <definedName name="_ENF2g_ratio_p2">#REF!</definedName>
    <definedName name="bx_col">#REF!</definedName>
    <definedName name="_F56_">#REF!</definedName>
    <definedName name="___________n1">#REF!</definedName>
    <definedName name="a">#REF!</definedName>
    <definedName name="UN_PRI">#REF!</definedName>
    <definedName name="dsf">#REF!</definedName>
    <definedName name="_________n2">#REF!</definedName>
    <definedName name="_____________f3ang01">#REF!</definedName>
    <definedName name="_______________f2set">#REF!</definedName>
    <definedName name="Agua">#REF!</definedName>
    <definedName name="__TCA704">#REF!</definedName>
    <definedName name="PTV_3NT">#REF!</definedName>
    <definedName name="PROY_INTERNO">#REF!</definedName>
    <definedName name="sema28">#REF!</definedName>
    <definedName name="MINSA_NoAseg_NoPobre_p3">#REF!</definedName>
    <definedName name="_fff24">#REF!</definedName>
    <definedName name="Var_ped_x">#REF!</definedName>
    <definedName name="MARTES">#REF!</definedName>
    <definedName name="B03____0">#REF!</definedName>
    <definedName name="Curador">#REF!</definedName>
    <definedName name="PTV_0">#REF!</definedName>
    <definedName name="Var_ped_bi">#REF!</definedName>
    <definedName name="Excel_BuiltIn__FilterDatabase_13">#REF!</definedName>
    <definedName name="monto1">#REF!</definedName>
    <definedName name="____ro1">#REF!</definedName>
    <definedName name="NroCotiz">#REF!</definedName>
    <definedName name="SHARED_FORMULA_15">#REF!</definedName>
    <definedName name="_OBS1_psicop_ratio_p1_">#REF!</definedName>
    <definedName name="Fecha5">#REF!</definedName>
    <definedName name="Año_0_8">#REF!</definedName>
    <definedName name="_______________f3enco01">#REF!</definedName>
    <definedName name="Nu">#REF!</definedName>
    <definedName name="A_15">#REF!</definedName>
    <definedName name="PA3_1N_M">#REF!</definedName>
    <definedName name="TOTSHE7">#REF!</definedName>
    <definedName name="_______fac03">#REF!</definedName>
    <definedName name="_______________f3enco02">#REF!</definedName>
    <definedName name="PLANILLA___SEMANA_13">#REF!</definedName>
    <definedName name="qs_">#REF!</definedName>
    <definedName name="Pobre_p3">#REF!</definedName>
    <definedName name="_iii26">#REF!</definedName>
    <definedName name="CONC100">#REF!</definedName>
    <definedName name="_ENF2b_p2">#REF!</definedName>
    <definedName name="MANF20">#REF!</definedName>
    <definedName name="Previo_6">#REF!</definedName>
    <definedName name="_______________________S1">#REF!</definedName>
    <definedName name="Factor_Desvio_p1">#REF!</definedName>
    <definedName name="_EMG1b_c_p3">#REF!</definedName>
    <definedName name="RPHA">#REF!</definedName>
    <definedName name="___AA90088">#REF!</definedName>
    <definedName name="sdd">#REF!</definedName>
    <definedName name="of">#REF!</definedName>
    <definedName name="Planilla_39">#REF!</definedName>
    <definedName name="__TB3">#REF!</definedName>
    <definedName name="_________n1">#REF!</definedName>
    <definedName name="depa1">#REF!</definedName>
    <definedName name="sema15">#REF!</definedName>
    <definedName name="_______f3glob">#REF!</definedName>
    <definedName name="_____________S1">#REF!</definedName>
    <definedName name="____TP004">#REF!</definedName>
    <definedName name="_MED2d_ratio_p2">#REF!</definedName>
    <definedName name="PSEC_0P">#REF!</definedName>
    <definedName name="____TP003">#REF!</definedName>
    <definedName name="_________________A2">#REF!</definedName>
    <definedName name="DIAS_EN_FAENA">#REF!</definedName>
    <definedName name="_______f2encode">#REF!</definedName>
    <definedName name="____A2">#REF!</definedName>
    <definedName name="___ACC56">#REF!</definedName>
    <definedName name="_AA503114">#REF!</definedName>
    <definedName name="_____f1cad">#REF!</definedName>
    <definedName name="RelEquip">#REF!</definedName>
    <definedName name="MANF10">#REF!</definedName>
    <definedName name="PROVINCIA">#REF!</definedName>
    <definedName name="_TP010">#REF!</definedName>
    <definedName name="cfc245tv">#REF!</definedName>
    <definedName name="B02____0">#REF!</definedName>
    <definedName name="Val_50">#REF!</definedName>
    <definedName name="_____________________A1">#REF!</definedName>
    <definedName name="Val_59">#REF!</definedName>
    <definedName name="VOL__TOT____3">#REF!</definedName>
    <definedName name="sema38">#REF!</definedName>
    <definedName name="tab_002">#REF!</definedName>
    <definedName name="kjp">#REF!</definedName>
    <definedName name="_OBS2_p1_">#REF!</definedName>
    <definedName name="Planilla_24">#REF!</definedName>
    <definedName name="ESTADO">#REF!</definedName>
    <definedName name="PR3_2">#REF!</definedName>
    <definedName name="___Ind2">#REF!</definedName>
    <definedName name="q_12">#REF!</definedName>
    <definedName name="___pu4">#REF!</definedName>
    <definedName name="RF2SCT">#REF!</definedName>
    <definedName name="E_4">#REF!</definedName>
    <definedName name="_______S1">#REF!</definedName>
    <definedName name="_TP015">#REF!</definedName>
    <definedName name="XXXXX">#REF!</definedName>
    <definedName name="eefftri_7">#REF!</definedName>
    <definedName name="Shear_c_2">#REF!</definedName>
    <definedName name="areano3">#REF!</definedName>
    <definedName name="A_19">#REF!</definedName>
    <definedName name="ez1f">#REF!</definedName>
    <definedName name="Quimilac">#REF!</definedName>
    <definedName name="WSQ">#REF!</definedName>
    <definedName name="TOTSHE8">#REF!</definedName>
    <definedName name="Planilla_42">#REF!</definedName>
    <definedName name="us">#REF!</definedName>
    <definedName name="ioooo">#REF!</definedName>
    <definedName name="_iii49">#REF!</definedName>
    <definedName name="As_ped_maxx">#REF!</definedName>
    <definedName name="gsdf___1">#REF!</definedName>
    <definedName name="Val_52">#REF!</definedName>
    <definedName name="Año_0_4_1">#REF!</definedName>
    <definedName name="_______TP002">#REF!</definedName>
    <definedName name="_INT4_CE_p2">#REF!</definedName>
    <definedName name="E_4_1S">#REF!</definedName>
    <definedName name="mg">#REF!</definedName>
    <definedName name="QQQ">#REF!</definedName>
    <definedName name="Moneda">#REF!</definedName>
    <definedName name="_MED2b_c_p2">#REF!</definedName>
    <definedName name="B2_Dpto_3_1">#REF!</definedName>
    <definedName name="PTV_2N">#REF!</definedName>
    <definedName name="IF2_">#REF!</definedName>
    <definedName name="PSEC_1N">#REF!</definedName>
    <definedName name="__ENE05">#REF!</definedName>
    <definedName name="___________________S1">#REF!</definedName>
    <definedName name="_mop1">#REF!</definedName>
    <definedName name="VANOS">#REF!</definedName>
    <definedName name="_G">#REF!</definedName>
    <definedName name="____ENE05">#REF!</definedName>
    <definedName name="_iii48">#REF!</definedName>
    <definedName name="FECHA_INICIO_OBRA">#REF!</definedName>
    <definedName name="redencion_de_pena">#REF!</definedName>
    <definedName name="sfdag">#REF!</definedName>
    <definedName name="fd">#REF!</definedName>
    <definedName name="_____________f3glob01">#REF!</definedName>
    <definedName name="__asp2">#REF!</definedName>
    <definedName name="_______________________A5">#REF!</definedName>
    <definedName name="Sinnombre">#REF!</definedName>
    <definedName name="camion">#REF!</definedName>
    <definedName name="_ACC53">#REF!</definedName>
    <definedName name="___________________A2">#REF!</definedName>
    <definedName name="_ENF2e_c_p2">#REF!</definedName>
    <definedName name="g_agua">#REF!</definedName>
    <definedName name="B03____3">#REF!</definedName>
    <definedName name="Stl_Cap_Shear">#REF!</definedName>
    <definedName name="PLANILLA___SEMANA_11">#REF!</definedName>
    <definedName name="CAS">#REF!</definedName>
    <definedName name="B08____0">#REF!</definedName>
    <definedName name="estado_civil">#REF!</definedName>
    <definedName name="P1_i_gestantes_P1">#REF!</definedName>
    <definedName name="Varillas_ped">#REF!</definedName>
    <definedName name="TERA">#REF!</definedName>
    <definedName name="Superestructura">#REF!</definedName>
    <definedName name="ORDINAL">#REF!</definedName>
    <definedName name="_____A1">#REF!</definedName>
    <definedName name="LAB3_ce_c_p3">#REF!</definedName>
    <definedName name="Inversión_Actual">#REF!</definedName>
    <definedName name="_DIS1">#REF!</definedName>
    <definedName name="Val_28">#REF!</definedName>
    <definedName name="System">#REF!</definedName>
    <definedName name="fliso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tc={3544a4da-503b-4be1-be41-911cb0d73123}</author>
  </authors>
  <commentList>
    <comment authorId="0" ref="B18">
      <text>
        <t xml:space="preserve">HP:
Se calcula en automatico los valores en metros cuadrados de los diferentes ambientes escolares.</t>
      </text>
    </comment>
    <comment authorId="0" ref="E3">
      <text>
        <t xml:space="preserve">HP:
Esta es la cantidad de alumnos por aula.</t>
      </text>
    </comment>
    <comment authorId="0" ref="G5">
      <text>
        <t xml:space="preserve">HP:
Nos indica el número de aulas designadas según el aforo establecido.</t>
      </text>
    </comment>
    <comment authorId="0" ref="N7">
      <text>
        <t xml:space="preserve">HP:
Indican las raciones de un turno, para el calculo de la cocina.</t>
      </text>
    </comment>
    <comment authorId="0" ref="N5">
      <text>
        <t xml:space="preserve">HP:
Para el calculo de personal se elige si hay dos turnos o uno</t>
      </text>
    </comment>
    <comment authorId="0" ref="E8">
      <text>
        <t xml:space="preserve">HP:
Calcula la cantidad de personal administrativo y docentes necesarios para la institucion</t>
      </text>
    </comment>
    <comment authorId="0" ref="R4">
      <text>
        <t xml:space="preserve">HP:
Ayudan a calcular los espacios de SSHH.</t>
      </text>
    </comment>
    <comment authorId="0" ref="D5">
      <text>
        <t xml:space="preserve">HP:
Este valor se inserta del cuestionario de aforo o demanda estudiantil.</t>
      </text>
    </comment>
    <comment authorId="1" xr:uid="{3544a4da-503b-4be1-be41-911cb0d731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Consultar y verificar datos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tc={85541945-dfe1-434b-8555-f547e7bf12de}</author>
  </authors>
  <commentList>
    <comment authorId="0" xr:uid="{85541945-dfe1-434b-8555-f547e7bf12de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auditorio multiusos, consultar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tc={003238fa-372d-4e21-893c-639317e55813}</author>
    <author>tc={3f6d540f-136a-4888-a1d0-f783e13a39ef}</author>
  </authors>
  <commentList>
    <comment authorId="0" xr:uid="{003238fa-372d-4e21-893c-639317e55813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Altura del techo, es igual al porcentaje del ancho del pabellon.
</t>
      </text>
    </comment>
    <comment authorId="1" xr:uid="{3f6d540f-136a-4888-a1d0-f783e13a39ef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Altura interior de cada piso. desde el piso(donde termina su medida), hasta el inicio del techo
</t>
      </text>
    </comment>
  </commentList>
</comments>
</file>

<file path=xl/sharedStrings.xml><?xml version="1.0" encoding="utf-8"?>
<sst xmlns="http://schemas.openxmlformats.org/spreadsheetml/2006/main" count="1561" uniqueCount="518">
  <si>
    <t>AMBIENTES PARA NIVEL INICIAL</t>
  </si>
  <si>
    <t>AMBIENTES PARA NIVEL SECUNDARIO</t>
  </si>
  <si>
    <t>AMBIENTES PARA NIVEL PRIMARIO</t>
  </si>
  <si>
    <t>AFORO NIVEL INICIAL</t>
  </si>
  <si>
    <t>(ALUMNOS X AULA)</t>
  </si>
  <si>
    <t>Escoger region del proyecto:</t>
  </si>
  <si>
    <t>AFORO NIVEL PRIMARIO</t>
  </si>
  <si>
    <t>AFORO NIVEL SECUNDARIO</t>
  </si>
  <si>
    <t>CONSOLIDADO TOTAL PARA EL PROYECTO</t>
  </si>
  <si>
    <t>Para baños docentes</t>
  </si>
  <si>
    <t>Adicional</t>
  </si>
  <si>
    <t>Consolidado</t>
  </si>
  <si>
    <t>Baño estandar</t>
  </si>
  <si>
    <t>baño dis.</t>
  </si>
  <si>
    <t>SIERRA</t>
  </si>
  <si>
    <t>ALUMNOS DE CICLO I</t>
  </si>
  <si>
    <t>ALUMNOS DE 1 RO</t>
  </si>
  <si>
    <t>NUM. DE AULAS CICLO I</t>
  </si>
  <si>
    <t>NUM. DE AULAS DE 1RO</t>
  </si>
  <si>
    <t>Un turno</t>
  </si>
  <si>
    <t>(Para la porteria)</t>
  </si>
  <si>
    <t>Ambientes</t>
  </si>
  <si>
    <t>Mixto 1L, 1u, 1l</t>
  </si>
  <si>
    <t>Metros cuadrados</t>
  </si>
  <si>
    <t>Mixto 1L, 1u, 1I
D: 1L, 1u,1I</t>
  </si>
  <si>
    <t>Cantidad</t>
  </si>
  <si>
    <t>Unitario</t>
  </si>
  <si>
    <t>ALUMNOS DE CICLO II</t>
  </si>
  <si>
    <t>ALUMNOS DE 2DO</t>
  </si>
  <si>
    <t>Aulas Ciclo I</t>
  </si>
  <si>
    <t>NUM. DE AULAS DE 2DO</t>
  </si>
  <si>
    <t>NUM. DE AULAS CICLO II</t>
  </si>
  <si>
    <t>H 1L, 1u, 1l / M 1L, 1l</t>
  </si>
  <si>
    <t>H 1L, 1u, 1l /
M 1L, 1l /
D: 1L, 1u, 1I</t>
  </si>
  <si>
    <t>ALUMNOS DE 3RO</t>
  </si>
  <si>
    <t>NUM. DE AULAS DE 3RO</t>
  </si>
  <si>
    <t>(raciones)</t>
  </si>
  <si>
    <t>H 2L, 2u, 2l / M 2L, 2l</t>
  </si>
  <si>
    <t>H 2L, 2u, 2l /
M 2L, 2l /
D: 1L, 1u, 1I</t>
  </si>
  <si>
    <t>Aulas Inicial</t>
  </si>
  <si>
    <t>Aulas Ciclo II</t>
  </si>
  <si>
    <t>ALUMNOS DE 4TO</t>
  </si>
  <si>
    <t>NUM. DE AULAS DE 4TO</t>
  </si>
  <si>
    <t>AFORO DE ADMINISTRATIVOS</t>
  </si>
  <si>
    <t>ALUMNOS DE 5TO</t>
  </si>
  <si>
    <t>NUM. DE AULAS DE 5TO</t>
  </si>
  <si>
    <t>Sala de Psicomotricidad</t>
  </si>
  <si>
    <t>H 3L, 3u, 3l / M 3L, 3l</t>
  </si>
  <si>
    <t>H 3L, 3u, 3l /
M 3L, 3l /
D: 1L, 1u, 1I</t>
  </si>
  <si>
    <t>ALUMNOS DE 6TO</t>
  </si>
  <si>
    <t>Subdirector</t>
  </si>
  <si>
    <t>NUM. DE AULAS DE 6TO</t>
  </si>
  <si>
    <t>Aulas Primaria</t>
  </si>
  <si>
    <t>Leyenda:</t>
  </si>
  <si>
    <t>L: lavabo, u: urinario, I: inodoro</t>
  </si>
  <si>
    <t>Aulas Secundaria</t>
  </si>
  <si>
    <t>Docente</t>
  </si>
  <si>
    <t>Biblioteca</t>
  </si>
  <si>
    <t>Ciclo I</t>
  </si>
  <si>
    <t>Auxiliar</t>
  </si>
  <si>
    <t>Aula de Innovacion Prim</t>
  </si>
  <si>
    <t>Ciclo II</t>
  </si>
  <si>
    <t>Secretaria</t>
  </si>
  <si>
    <t>Aula de Innovacion Sec</t>
  </si>
  <si>
    <t>Para baños primaria</t>
  </si>
  <si>
    <t>Taller creativo Prim</t>
  </si>
  <si>
    <t>Oficinista</t>
  </si>
  <si>
    <t>Taller creativo Sec</t>
  </si>
  <si>
    <t>Rango</t>
  </si>
  <si>
    <t>Hombres</t>
  </si>
  <si>
    <t>Metros</t>
  </si>
  <si>
    <t>Mujeres</t>
  </si>
  <si>
    <t>Disc. (metros)</t>
  </si>
  <si>
    <t>Personal de Servicio</t>
  </si>
  <si>
    <t>Taller EPT</t>
  </si>
  <si>
    <t>Educ. fisica</t>
  </si>
  <si>
    <t>H: 1L, 1u, 1I</t>
  </si>
  <si>
    <t>M: 1L, 1I</t>
  </si>
  <si>
    <t>Porteria</t>
  </si>
  <si>
    <t>Laboratorio</t>
  </si>
  <si>
    <t>Profesor IP</t>
  </si>
  <si>
    <t>H: 2L, 2u, 2I</t>
  </si>
  <si>
    <t>M: 2L, 2I</t>
  </si>
  <si>
    <t>SUM</t>
  </si>
  <si>
    <t>H: 3L, 3u, 3I</t>
  </si>
  <si>
    <t>Coordi. de tutoria</t>
  </si>
  <si>
    <t>M: 3L, 3I</t>
  </si>
  <si>
    <t>Direccion Adm.</t>
  </si>
  <si>
    <t>H: 4L, 4u, 4I</t>
  </si>
  <si>
    <t>M: 4L, 4I</t>
  </si>
  <si>
    <t>Coordi. Pedagogico</t>
  </si>
  <si>
    <t>PROGRAMA ARQUITECTONICO INICIAL</t>
  </si>
  <si>
    <t>Área de espera</t>
  </si>
  <si>
    <t>H: 5L, 5u, 5I</t>
  </si>
  <si>
    <t>M: 5L, 5I</t>
  </si>
  <si>
    <t>Jefe de Laboratorio</t>
  </si>
  <si>
    <t>H: 6L, 6u, 6I</t>
  </si>
  <si>
    <t>Sala de Reuniones</t>
  </si>
  <si>
    <t>M: 6L, 6I</t>
  </si>
  <si>
    <t>USO</t>
  </si>
  <si>
    <t>Aux, Laboratorio</t>
  </si>
  <si>
    <t>AMBIENTE</t>
  </si>
  <si>
    <t>Ambiente</t>
  </si>
  <si>
    <t>Aux. biblioteca</t>
  </si>
  <si>
    <t>Ocupación</t>
  </si>
  <si>
    <t>Util. unitaria</t>
  </si>
  <si>
    <t>Parcial</t>
  </si>
  <si>
    <t>AMBIENTES BASICO</t>
  </si>
  <si>
    <t>Sala de Profesores</t>
  </si>
  <si>
    <t>A</t>
  </si>
  <si>
    <t>Aula</t>
  </si>
  <si>
    <t>Aulas de Ciclo I</t>
  </si>
  <si>
    <t>SSHH Adm. - Hombres</t>
  </si>
  <si>
    <t>PROGRAMA ARQUITECTONICO PRIMARIA</t>
  </si>
  <si>
    <t>Aulas de Ciclo II</t>
  </si>
  <si>
    <t>SSHH Adm. - Mujeres</t>
  </si>
  <si>
    <t>H: 7L, 7u, 7I</t>
  </si>
  <si>
    <t>SS HH</t>
  </si>
  <si>
    <t>M: 7L, 7I</t>
  </si>
  <si>
    <t>Cocina Prim - Sec</t>
  </si>
  <si>
    <t>Psicologo</t>
  </si>
  <si>
    <t>Deposito*</t>
  </si>
  <si>
    <t>(incorpora mobiliaria para material didactico permanente)</t>
  </si>
  <si>
    <t>Cocina Inicial</t>
  </si>
  <si>
    <t>Aula de Psicomotricidad</t>
  </si>
  <si>
    <t>1er Grado</t>
  </si>
  <si>
    <t>SSHH Inicial - Hombres</t>
  </si>
  <si>
    <t>2do Grado</t>
  </si>
  <si>
    <t>SSHH Inicial - Mujeres</t>
  </si>
  <si>
    <t>Menos de 6 aulas = 0, en el SUM</t>
  </si>
  <si>
    <t>3er Grado</t>
  </si>
  <si>
    <t>4to Grado</t>
  </si>
  <si>
    <t>SSHH Prim - Hombres</t>
  </si>
  <si>
    <t>5to Grado</t>
  </si>
  <si>
    <t>6 a 15 aulas= 1</t>
  </si>
  <si>
    <t>6to Grado</t>
  </si>
  <si>
    <t>SSHH Prim - Mujeres</t>
  </si>
  <si>
    <t>16 a 25 aulas= 2</t>
  </si>
  <si>
    <t>B</t>
  </si>
  <si>
    <t>SSHH Sec - Hombres</t>
  </si>
  <si>
    <t>Biblioteca Escolar</t>
  </si>
  <si>
    <t>SSHH Sec - Mujeres</t>
  </si>
  <si>
    <t>Tipo I</t>
  </si>
  <si>
    <t>hasta 30 secc</t>
  </si>
  <si>
    <t>26 a 35 aulas= 3</t>
  </si>
  <si>
    <t>Losa Deportiva</t>
  </si>
  <si>
    <t>D</t>
  </si>
  <si>
    <t>Tipo II</t>
  </si>
  <si>
    <t>de 31 a 48 secc</t>
  </si>
  <si>
    <t>Sala de Usos Multiples SUM</t>
  </si>
  <si>
    <t>Topico</t>
  </si>
  <si>
    <t>30 a más</t>
  </si>
  <si>
    <t>Tipo III</t>
  </si>
  <si>
    <t>mas de 49 secc</t>
  </si>
  <si>
    <t>Lactario</t>
  </si>
  <si>
    <t>Aula de Innovacion Pedagogica AIP</t>
  </si>
  <si>
    <t>Deposito</t>
  </si>
  <si>
    <t>10% del SUM</t>
  </si>
  <si>
    <t>Escalera Prim</t>
  </si>
  <si>
    <t>hasta 15 =</t>
  </si>
  <si>
    <t>Escalera Sec</t>
  </si>
  <si>
    <t>F</t>
  </si>
  <si>
    <t>Area de Ingreso</t>
  </si>
  <si>
    <t>De 16 a 30 =</t>
  </si>
  <si>
    <t>Patio Inicial</t>
  </si>
  <si>
    <t>Area de ingreso</t>
  </si>
  <si>
    <t>De 31 a 45 =</t>
  </si>
  <si>
    <t>Circulaciones, según propuesta</t>
  </si>
  <si>
    <t>variable</t>
  </si>
  <si>
    <t>Total</t>
  </si>
  <si>
    <t>Espacios exteriores</t>
  </si>
  <si>
    <t>De 46 a mas =</t>
  </si>
  <si>
    <t>Patio</t>
  </si>
  <si>
    <t>Modulo de conectividad, anexo al AIP</t>
  </si>
  <si>
    <t>Area de juegos</t>
  </si>
  <si>
    <t>hasta 8 =</t>
  </si>
  <si>
    <t>C</t>
  </si>
  <si>
    <t>Taller Creativo</t>
  </si>
  <si>
    <t>De 9 a 17 =</t>
  </si>
  <si>
    <t>G</t>
  </si>
  <si>
    <t>Espacio de cultivos</t>
  </si>
  <si>
    <t>mínimo</t>
  </si>
  <si>
    <t>De 18 a 26 =</t>
  </si>
  <si>
    <t>Espacios de crianza de animales</t>
  </si>
  <si>
    <t>De 27 a 35 =</t>
  </si>
  <si>
    <t>AMBIENTES COMPLEMENTARIOS</t>
  </si>
  <si>
    <t>Gestión administrativa y pedagógica</t>
  </si>
  <si>
    <t>Area de Espera</t>
  </si>
  <si>
    <t>De 36 a 43 =</t>
  </si>
  <si>
    <t>Espacio personal administrativo</t>
  </si>
  <si>
    <t>De 44 a 52 =</t>
  </si>
  <si>
    <t>Sala para personal docente</t>
  </si>
  <si>
    <t>De 53 a 66 =</t>
  </si>
  <si>
    <t>15% del SUM</t>
  </si>
  <si>
    <t>Bienestar estudiantil</t>
  </si>
  <si>
    <t>Losa Multiuso</t>
  </si>
  <si>
    <t>según propuesta</t>
  </si>
  <si>
    <t>hasta 10 =</t>
  </si>
  <si>
    <t>Cocina</t>
  </si>
  <si>
    <t>De 11 a 20 =</t>
  </si>
  <si>
    <t>Area libre</t>
  </si>
  <si>
    <t>Tipo A</t>
  </si>
  <si>
    <t>Hasta 150 raciones</t>
  </si>
  <si>
    <t>De 21 a 30 =</t>
  </si>
  <si>
    <t>terreno</t>
  </si>
  <si>
    <t>Tipo B</t>
  </si>
  <si>
    <t>Tipo C</t>
  </si>
  <si>
    <t>De 31 a 40 =</t>
  </si>
  <si>
    <t>151 a 300</t>
  </si>
  <si>
    <t>De 41 a 50 =</t>
  </si>
  <si>
    <t>De 51 a 60 =</t>
  </si>
  <si>
    <t>Tipo D</t>
  </si>
  <si>
    <t>301 a 900</t>
  </si>
  <si>
    <t>Taller de Educacion para el Trabajo</t>
  </si>
  <si>
    <t>Tipo E</t>
  </si>
  <si>
    <t>901 a más</t>
  </si>
  <si>
    <t>Almacen de alimentos</t>
  </si>
  <si>
    <t>De 1 a 15 =</t>
  </si>
  <si>
    <t>De 46 a 60 =</t>
  </si>
  <si>
    <t>Tipo I:</t>
  </si>
  <si>
    <t>Tipo IV</t>
  </si>
  <si>
    <t xml:space="preserve">Laboratorio de Ciencia,Tecnología y Ambiente </t>
  </si>
  <si>
    <t>Tipo II:</t>
  </si>
  <si>
    <t>mas de 30 secc</t>
  </si>
  <si>
    <t>Tipo V</t>
  </si>
  <si>
    <t>Deposito de combustible</t>
  </si>
  <si>
    <t>Comedor (compartido con el SUM)</t>
  </si>
  <si>
    <t>Servicios generales</t>
  </si>
  <si>
    <t>Almacen</t>
  </si>
  <si>
    <t>minimo 10</t>
  </si>
  <si>
    <t>Caseta de control</t>
  </si>
  <si>
    <t>minimo 3</t>
  </si>
  <si>
    <t>Cuarto de maquinas y cisternas</t>
  </si>
  <si>
    <t>según diseño</t>
  </si>
  <si>
    <t>Ambiente para almacenamiento de residuo solido</t>
  </si>
  <si>
    <t>Cuarto electrico</t>
  </si>
  <si>
    <t>Cuarto de limpieza</t>
  </si>
  <si>
    <t>minimo 1.5</t>
  </si>
  <si>
    <t>Estacionamientos</t>
  </si>
  <si>
    <t>Servicios higienicos</t>
  </si>
  <si>
    <t>Servicios Higienicos administrativos, pedagogicos</t>
  </si>
  <si>
    <t>De 1 a 6 empleados: Mixto 1L, 1u, 1l</t>
  </si>
  <si>
    <t>De 7 a 20 empleados: H 1L, 1u, 1l / M 1L, 1l</t>
  </si>
  <si>
    <t>De 21 a 60 empleados: H 2L, 2u, 2l / M 2L, 2l</t>
  </si>
  <si>
    <t>De 61 a 150 empleados: H 3L, 3u, 3l / M 3L, 3l</t>
  </si>
  <si>
    <t>Servicios Higienicos personal de cocina</t>
  </si>
  <si>
    <t>De 1 a 5 empleados: MIXTO 1L, 1u, 1l</t>
  </si>
  <si>
    <t>Servicios Higienicos para alumnos</t>
  </si>
  <si>
    <t>hasta 15 secc</t>
  </si>
  <si>
    <t>mas de 15 secc</t>
  </si>
  <si>
    <t>Disc.</t>
  </si>
  <si>
    <t>Ancho</t>
  </si>
  <si>
    <t>Largo</t>
  </si>
  <si>
    <t>Tipo</t>
  </si>
  <si>
    <t>Pabellon</t>
  </si>
  <si>
    <t>Piso de preferencia</t>
  </si>
  <si>
    <t>Fijo</t>
  </si>
  <si>
    <t>Derecha</t>
  </si>
  <si>
    <t>1 y 2</t>
  </si>
  <si>
    <t>Distribuir en una sola hilera. Prioridad máxima del pabellón.</t>
  </si>
  <si>
    <t>Ubicar preferentemente en 1er piso; usar 2do solo si no hay espacio.</t>
  </si>
  <si>
    <t>Solo en primer piso por seguridad y equipamiento.</t>
  </si>
  <si>
    <t>Considerar largo suficiente para alto flujo de estudiantes.</t>
  </si>
  <si>
    <t>Variable</t>
  </si>
  <si>
    <t>Ubicar en extremos del pabellón, alejados de aulas.</t>
  </si>
  <si>
    <t>Izquierda</t>
  </si>
  <si>
    <t>Inferior</t>
  </si>
  <si>
    <t>Distribuir en una sola hilera. Prioridad máxima del pabellón. Solo primer piso. El pabellon debe estar aislado de los otros pabellones.</t>
  </si>
  <si>
    <t>Distribuir en una sola hilera. Máximo segundo piso.</t>
  </si>
  <si>
    <t>Ubicar siempre junto a aulas. No deben alejarse del conjunto principal.</t>
  </si>
  <si>
    <t>Ubicar al lado del lactario y en un extremo del pabellón.</t>
  </si>
  <si>
    <t>Ubicar al lado del topico y en un extremo del pabellón.</t>
  </si>
  <si>
    <t>Ubicar en un extremo del pabellón. Acceso directo desde áreas de aulas.</t>
  </si>
  <si>
    <t>Ubicar alejada de las aulas por seguridad, ruido y olores.</t>
  </si>
  <si>
    <t>Superior</t>
  </si>
  <si>
    <t>Al lado del área de ingreso.</t>
  </si>
  <si>
    <t>Cercano a la dirección</t>
  </si>
  <si>
    <t>Al centro del pabellon, debe ser el punto de ingreso para todo el colegio.</t>
  </si>
  <si>
    <t>Zona de descanso, debe ser tranquilo, evitar cercania a las aulas de los otros pabellones</t>
  </si>
  <si>
    <t>Medio</t>
  </si>
  <si>
    <t>Se orienta de norte a sur siempre. Se siguen las medidas que se especifican, además si el terreno lo permite debe distribuirse otra cancha con al menos 3 metros de separación de la otra.</t>
  </si>
  <si>
    <t>Más cercano a secundaria, pero alejado de inicial</t>
  </si>
  <si>
    <t>Debe ubicarse al medio de la distribucion</t>
  </si>
  <si>
    <t>De preferencia estar cerca al SUM</t>
  </si>
  <si>
    <t>Estar cerca al pabellon inicial, para efectos de cercania. No tiene dimensiones definidas.</t>
  </si>
  <si>
    <t>ITEM</t>
  </si>
  <si>
    <t>MODULO</t>
  </si>
  <si>
    <t>CANTIDAD</t>
  </si>
  <si>
    <t>UND</t>
  </si>
  <si>
    <t>AREA UTIL
(norma técnica)</t>
  </si>
  <si>
    <t>AREA UTIL +30% DE CIRCULACION Y MUROS</t>
  </si>
  <si>
    <t>ÁREA POR MODULO</t>
  </si>
  <si>
    <t>COSTO</t>
  </si>
  <si>
    <t>COSTO PARCIAL</t>
  </si>
  <si>
    <t>COSTO MODULO</t>
  </si>
  <si>
    <t>MODULO I</t>
  </si>
  <si>
    <t>M2</t>
  </si>
  <si>
    <t>ancho pabellon</t>
  </si>
  <si>
    <t>Aulas Psicomotricidad</t>
  </si>
  <si>
    <t>ancho puerta</t>
  </si>
  <si>
    <t>altura techo</t>
  </si>
  <si>
    <t>0.25</t>
  </si>
  <si>
    <t>altura interna piso</t>
  </si>
  <si>
    <t>variable segun zona</t>
  </si>
  <si>
    <t>ancho balcon</t>
  </si>
  <si>
    <t>ancho pasillos</t>
  </si>
  <si>
    <t>}}}}}}}}}}}}}}}}¿¿¿¿¿¿¿¿¿¿¿¿¿¿+'p´´´ññ´ñ{{{{{{.-,------.,.uiujhyujhyjuikujhygtfrtghyjgtfredswaq</t>
  </si>
  <si>
    <t>sassqwq1</t>
  </si>
  <si>
    <t>1w1w1w1wq1</t>
  </si>
  <si>
    <t>|&lt;&gt;&gt;&lt;a&lt;&gt;a&lt;ZZAzaZ&lt;EW2QA2AWSQWSSWQSWSWlkjhukuhkimnjhmhjmbbnmbmj,njhmj,jn´++{{</t>
  </si>
  <si>
    <t>medida_columna</t>
  </si>
  <si>
    <t>0.3 | 0.4</t>
  </si>
  <si>
    <t>apartir de 3 piso 0.4m</t>
  </si>
  <si>
    <t>-</t>
  </si>
  <si>
    <t>´-</t>
  </si>
  <si>
    <t>44444}}4}</t>
  </si>
  <si>
    <t>MODULO II</t>
  </si>
  <si>
    <t>Taller Creativo Prim</t>
  </si>
  <si>
    <t>Taller Creativo Sec</t>
  </si>
  <si>
    <t>Área de Espera</t>
  </si>
  <si>
    <t>MODULO III</t>
  </si>
  <si>
    <t>SSHH Adm.</t>
  </si>
  <si>
    <t>Almacén</t>
  </si>
  <si>
    <t>MODULO IV</t>
  </si>
  <si>
    <t>zona</t>
  </si>
  <si>
    <t>inicio_x_techo</t>
  </si>
  <si>
    <t>fin_x_techo</t>
  </si>
  <si>
    <t>punto_medio_x_cubierta</t>
  </si>
  <si>
    <t>voladizo</t>
  </si>
  <si>
    <t>altura_interior_piso</t>
  </si>
  <si>
    <t>cubierta</t>
  </si>
  <si>
    <t>altura_viga</t>
  </si>
  <si>
    <t>Z1</t>
  </si>
  <si>
    <t>L</t>
  </si>
  <si>
    <t>0.5</t>
  </si>
  <si>
    <t>3.25</t>
  </si>
  <si>
    <t>0.6</t>
  </si>
  <si>
    <t>Z2</t>
  </si>
  <si>
    <t>Patio de Inicial</t>
  </si>
  <si>
    <t>Z3</t>
  </si>
  <si>
    <t>3.00</t>
  </si>
  <si>
    <t>Z4</t>
  </si>
  <si>
    <t>L + 1.8</t>
  </si>
  <si>
    <t>2.85</t>
  </si>
  <si>
    <t>Z5</t>
  </si>
  <si>
    <t>Z6</t>
  </si>
  <si>
    <t xml:space="preserve">COSTO DIRECTO </t>
  </si>
  <si>
    <t>Z7</t>
  </si>
  <si>
    <t>-1.5</t>
  </si>
  <si>
    <t>3.75</t>
  </si>
  <si>
    <t>GASTOS GENERALES (10%)</t>
  </si>
  <si>
    <t>Z8</t>
  </si>
  <si>
    <t>CUADRO DE VALORES UNITARIOS OFICIALES DE EDIFICACION LIMA
METROPOLITANA Y PROVINCIA CONSTITUCIONAL DEL CALLAO</t>
  </si>
  <si>
    <t>UTILIDAD (10%)</t>
  </si>
  <si>
    <t>Z9</t>
  </si>
  <si>
    <t>CATEGORIA</t>
  </si>
  <si>
    <t>Muros y columnas</t>
  </si>
  <si>
    <t>Techos</t>
  </si>
  <si>
    <t>Pisos</t>
  </si>
  <si>
    <t>Puertas y ventanas</t>
  </si>
  <si>
    <t>Revestimientos</t>
  </si>
  <si>
    <t>Baños</t>
  </si>
  <si>
    <t>SUB TOTAL</t>
  </si>
  <si>
    <t>Instalaciones eléctricas y sanitarias</t>
  </si>
  <si>
    <t>IGV</t>
  </si>
  <si>
    <t>PRESUPUESTO TOTAL</t>
  </si>
  <si>
    <t>E</t>
  </si>
  <si>
    <t>H</t>
  </si>
  <si>
    <t>I</t>
  </si>
  <si>
    <t>Ins. eléctricas y sanitarias</t>
  </si>
  <si>
    <t>Para todos los Modulos =</t>
  </si>
  <si>
    <t>Solo para Modulo IV =</t>
  </si>
  <si>
    <t>Losa, patio  =</t>
  </si>
  <si>
    <t>Escalera =</t>
  </si>
  <si>
    <t>Área de ingreso =</t>
  </si>
  <si>
    <t>CUADRO DE VALORES UNITARIOS OFICIALES DE EDIFICACION
PARA LA COSTA (EXCEPTO LIMA METROPOLITANA Y CALLAO)</t>
  </si>
  <si>
    <t>CUADRO DE VALORES UNITARIOS OFICIALES DE EDIFICACION
PARA LA SELVA</t>
  </si>
  <si>
    <t>CUADRO DE VALORES UNITARIOS OFICIALES DE EDIFICACION PARA LA SIERRA</t>
  </si>
  <si>
    <t>AREA UTIL
 (norma técnica)</t>
  </si>
  <si>
    <t>PRESUPUESTO PRUEBA</t>
  </si>
  <si>
    <t>DESCRIPCIÓN</t>
  </si>
  <si>
    <t>VALOR UNITARIO</t>
  </si>
  <si>
    <t>VALOR MODULO</t>
  </si>
  <si>
    <t>VALOR TOTAL</t>
  </si>
  <si>
    <t>EQUIPAMIENTO</t>
  </si>
  <si>
    <t>MODULO I: AULAS</t>
  </si>
  <si>
    <t>AULAS INICIAL</t>
  </si>
  <si>
    <t>MESA INFANTIL PARA TRABAJO GRUPAL Y 4 SILLAS</t>
  </si>
  <si>
    <t>Und</t>
  </si>
  <si>
    <t>ESCRITORIO METALICO C0N 4 CAJONES (MC-3)</t>
  </si>
  <si>
    <t>SILLAS UNIPERSONALES</t>
  </si>
  <si>
    <t>ARMARIO MELAMINE</t>
  </si>
  <si>
    <t>PIZARRA ACRÍLICO 2.40M X1.20M</t>
  </si>
  <si>
    <t>ARCHIVADOR METALICO DE 3 PUERTAS (MC-10)</t>
  </si>
  <si>
    <t>PAPELERA METALICA (MC-16)</t>
  </si>
  <si>
    <t>EQUIPO LAPTOP (por aula)</t>
  </si>
  <si>
    <t>ECRAN ESTANDAR (1.8 x 1.8) (por aula)</t>
  </si>
  <si>
    <t>PROYECTOR MULTIMEDIA (por aula)</t>
  </si>
  <si>
    <t>TELEVISOR 42" (por aula)</t>
  </si>
  <si>
    <t>BLUE-RAY (por aula)</t>
  </si>
  <si>
    <t>RACK PARA PROYECTOR MULTIMEDIA (por aula)</t>
  </si>
  <si>
    <t>RACK PARA TV (por aula)</t>
  </si>
  <si>
    <t>RACK PARA BLUE-RAY(por aula)</t>
  </si>
  <si>
    <t>PANEL DE CORCHO (0.80x1.00)</t>
  </si>
  <si>
    <t xml:space="preserve">AULAS PRIMARIA </t>
  </si>
  <si>
    <t>CARPETA MODELO MINEDU (SILLA Y MESA)</t>
  </si>
  <si>
    <t>AULAS SECUNDARIA</t>
  </si>
  <si>
    <t>MODULO V</t>
  </si>
  <si>
    <t>MODULO VI</t>
  </si>
  <si>
    <t>MODULO VII</t>
  </si>
  <si>
    <t>MESA PARA 6 SILLAS (M-1)</t>
  </si>
  <si>
    <t>SILLA METÁLICA APILABLE (MC-17)</t>
  </si>
  <si>
    <t>MODULO VIII</t>
  </si>
  <si>
    <t>ESTANTE MEDERA 1.20X0.35X1.50</t>
  </si>
  <si>
    <t>PUPITRE UNIPERSONAL INDIVIDUAL PRIMARIA (MC-20)</t>
  </si>
  <si>
    <t>jgo</t>
  </si>
  <si>
    <t>EQUIPO LAPTOP</t>
  </si>
  <si>
    <t>ROUTER</t>
  </si>
  <si>
    <t>COSTO DIRECTO</t>
  </si>
  <si>
    <t>EQUIPO DE SONIDO</t>
  </si>
  <si>
    <t>S/ 6,538,651.13</t>
  </si>
  <si>
    <t>S/ 653,865.11</t>
  </si>
  <si>
    <t>ECRAN ESTANDAR (1.8 x 1.8)</t>
  </si>
  <si>
    <t>S/ 7,846,381.35</t>
  </si>
  <si>
    <t>S/ 1,412,348.64</t>
  </si>
  <si>
    <t>S/ 9,258,730.00</t>
  </si>
  <si>
    <t>TELEVISOR 42"</t>
  </si>
  <si>
    <t>BLUE-RAY</t>
  </si>
  <si>
    <t>ESTANTE DE MADERA 1.20X0.35X1.80</t>
  </si>
  <si>
    <t>ATRIL</t>
  </si>
  <si>
    <t>CORTINAS BLACK OUT DE 1.50mx1.50m</t>
  </si>
  <si>
    <t>COCINA (PARA TODOS)</t>
  </si>
  <si>
    <t>COCINA INDUSTRIAL CON BALON DE GAS</t>
  </si>
  <si>
    <t>JUEGO DE MENAJERÍA</t>
  </si>
  <si>
    <t>JUEGO DE MESA CON 6 SILLAS</t>
  </si>
  <si>
    <t>MOSTRADOR DE MADERA PARA EMPOTRAR LAVADERO</t>
  </si>
  <si>
    <t>LAVADERO INOXIDABLE DE 1 POZA / ESCURRIDERO</t>
  </si>
  <si>
    <t>MOSTRADOR DE MADERA C/CAJONES DIV, INF. Y 2 PUERTAS</t>
  </si>
  <si>
    <t>ARMARIO PARA COLGAR CON DIVISIONES Y PUERTAS</t>
  </si>
  <si>
    <t>ARMARIO PARA UTENSILIOS</t>
  </si>
  <si>
    <t>DIRECCIÓN ADM</t>
  </si>
  <si>
    <t>SILLÓN GIRATORIO DIRECTOR</t>
  </si>
  <si>
    <t>ESCRITORIO DEL DIRECTOR</t>
  </si>
  <si>
    <t>ARCHIVADOR METÁLICOS</t>
  </si>
  <si>
    <t>ARMARIO METALICO</t>
  </si>
  <si>
    <t>SALA DE PROFESORES</t>
  </si>
  <si>
    <t>LOSA DEPORTIVA</t>
  </si>
  <si>
    <t>ARCO CON TABLERO DE BASQUET</t>
  </si>
  <si>
    <t>ARCO DE FULTOL</t>
  </si>
  <si>
    <t>SOPORTE PARA RED DE VOLEY</t>
  </si>
  <si>
    <t>HASTA DE BANDERA DE FIERRO GALVANIZADO, H=7.50M</t>
  </si>
  <si>
    <t>PELOTA DE VOLEY</t>
  </si>
  <si>
    <t>PELOTA DE BASQUET</t>
  </si>
  <si>
    <t>PELOTA DE FUTBOL</t>
  </si>
  <si>
    <t>BIBLIOTECA</t>
  </si>
  <si>
    <t>ESTANTE DE MADERA 1.20 x 0.35 x 1.80</t>
  </si>
  <si>
    <t>PANEL DE CORCHO (0.80 x 1.00)</t>
  </si>
  <si>
    <t>PAPELERA METÁLICA (MC-16)</t>
  </si>
  <si>
    <t>TALLER CREATIVO PRIMARIA</t>
  </si>
  <si>
    <t>KIT MATERIALES ARTÍSTICOS</t>
  </si>
  <si>
    <t>PROYECTOR MULTIMEDIA (opcional)</t>
  </si>
  <si>
    <t>TALLER CREATIVO SECUNDARIA</t>
  </si>
  <si>
    <t>TALLER EPT</t>
  </si>
  <si>
    <t>SILLAS APILAB</t>
  </si>
  <si>
    <t>KIT HERRAMIENTAS CARPINTERIA</t>
  </si>
  <si>
    <t>BANCO DE TRABAJO CON PRENSA</t>
  </si>
  <si>
    <t>LABORATORIO</t>
  </si>
  <si>
    <t>MESA/ BANCADA DE LABORATORIO RESISTENTE</t>
  </si>
  <si>
    <t>TABURETES/ BANQUETA</t>
  </si>
  <si>
    <t>MICROSCOPIO COMPUESTO</t>
  </si>
  <si>
    <t>KIT DE CRISTALERÍA Y REACTIVOS BÁSICOS</t>
  </si>
  <si>
    <t>BALANZA DE PRECISIÓN</t>
  </si>
  <si>
    <t>LAVADERO</t>
  </si>
  <si>
    <t>SALA DE REUNIONES</t>
  </si>
  <si>
    <t>Mesa para conferencias</t>
  </si>
  <si>
    <t>Ecran estándar</t>
  </si>
  <si>
    <t>Televisor 42"</t>
  </si>
  <si>
    <t>Rack para TV</t>
  </si>
  <si>
    <t>SSHH (APLICA PARA TODOS)</t>
  </si>
  <si>
    <t>INODORO COMPLETO (CON CISTERNA)</t>
  </si>
  <si>
    <t>LAVAMANOS CON GRIFERÍA</t>
  </si>
  <si>
    <t>ESPEJO</t>
  </si>
  <si>
    <t>DISPENSADOR DE JABÓN</t>
  </si>
  <si>
    <t>DISPENSADOR PARA PAPEL</t>
  </si>
  <si>
    <t>ACCESORIO</t>
  </si>
  <si>
    <t>TOPICO</t>
  </si>
  <si>
    <t>CAMILLA PLEGABLE / MESA DE CURACIONES</t>
  </si>
  <si>
    <t>BOTIQUÍN COMPLETO</t>
  </si>
  <si>
    <t>NEVERA PEQUEÑA PARA MEDICAMENTOS</t>
  </si>
  <si>
    <t>KIT DE EMERGENCIA</t>
  </si>
  <si>
    <t>LACTARIO</t>
  </si>
  <si>
    <t>NEVERA PEQUEÑA</t>
  </si>
  <si>
    <t>SILLON ERGONÓMICO PARA LACTANCIA</t>
  </si>
  <si>
    <t>LAVADERO O LAVABO PEQUEÑO</t>
  </si>
  <si>
    <t>MESA APOYO / ESTANTE</t>
  </si>
  <si>
    <t>CORTINA DE PRIVACIDAD</t>
  </si>
  <si>
    <t>AULA DE INNOVACIÓN PRIMARIA</t>
  </si>
  <si>
    <t>COMPUTADORA PARA DOCENTE</t>
  </si>
  <si>
    <t>AULA DE INNOVACIÓN SECUNCARIA</t>
  </si>
  <si>
    <t>AULA DE PSICOMOTRICIDAD</t>
  </si>
  <si>
    <t>COLCHONETAS INDIVIDUALES</t>
  </si>
  <si>
    <t>COLCHONETA GRANDE</t>
  </si>
  <si>
    <t>PELOTAS PSICOMOTRICES</t>
  </si>
  <si>
    <t>AROS PSICOMOTRICES</t>
  </si>
  <si>
    <t>CONOS</t>
  </si>
  <si>
    <t>TÚNEL DE PSICOMOTRICIDAD</t>
  </si>
  <si>
    <t>BLOQUES DE ESPUMA</t>
  </si>
  <si>
    <t>CUERDAS</t>
  </si>
  <si>
    <t>BANCOS BAJOS</t>
  </si>
  <si>
    <t>ESTANTE PARA MATERIALES DE INICIAL</t>
  </si>
  <si>
    <t>PISO DE GOMA O TATAMI</t>
  </si>
  <si>
    <t>Jgo</t>
  </si>
  <si>
    <t>AREA DE ESPERA</t>
  </si>
  <si>
    <t>SILLA DE ATENCIÓN</t>
  </si>
  <si>
    <t>SEÑALÉTICA</t>
  </si>
  <si>
    <t>BASURERO</t>
  </si>
  <si>
    <t>RELOJ DE PARED</t>
  </si>
  <si>
    <t>TOTAL DE COSTO POR EQUIPAMIENTO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</si>
</sst>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"/>
    <numFmt numFmtId="165" formatCode="_-&quot;S/&quot;\ * #,##0.00_-;\-&quot;S/&quot;\ * #,##0.00_-;_-&quot;S/&quot;\ * &quot;-&quot;??_-;_-@"/>
    <numFmt numFmtId="166" formatCode="d.m"/>
    <numFmt numFmtId="167" formatCode="[$S/.]#,##0.00"/>
  </numFmts>
  <fonts count="16">
    <font>
      <sz val="11.0"/>
      <color theme="1"/>
      <name val="Calibri"/>
      <scheme val="minor"/>
    </font>
    <font>
      <sz val="9.0"/>
      <color theme="1"/>
      <name val="Arial"/>
    </font>
    <font>
      <b/>
      <sz val="9.0"/>
      <color theme="1"/>
      <name val="Arial"/>
    </font>
    <font/>
    <font>
      <sz val="9.0"/>
      <color theme="0"/>
      <name val="Arial"/>
    </font>
    <font>
      <sz val="11.0"/>
      <color rgb="FF444746"/>
      <name val="&quot;Google Sans&quot;"/>
    </font>
    <font>
      <color theme="1"/>
      <name val="Calibri"/>
      <scheme val="minor"/>
    </font>
    <font>
      <sz val="11.0"/>
      <color rgb="FF00000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b/>
      <sz val="9.0"/>
      <color rgb="FFFFFFFF"/>
      <name val="Arial"/>
    </font>
    <font>
      <sz val="9.0"/>
      <color rgb="FF000000"/>
      <name val="Arial"/>
    </font>
    <font>
      <b/>
      <u/>
      <sz val="9.0"/>
      <color rgb="FF000000"/>
      <name val="Arial"/>
    </font>
    <font>
      <b/>
      <sz val="9.0"/>
      <color rgb="FF000000"/>
      <name val="Arial"/>
    </font>
    <font>
      <u/>
      <sz val="9.0"/>
      <color rgb="FF000000"/>
      <name val="Arial"/>
    </font>
    <font>
      <b/>
      <sz val="9.0"/>
      <color rgb="FFFF0000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D0CECE"/>
        <bgColor rgb="FFD0CECE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8EAADB"/>
        <bgColor rgb="FF8EAADB"/>
      </patternFill>
    </fill>
    <fill>
      <patternFill patternType="solid">
        <fgColor rgb="FFFFD85D"/>
        <bgColor rgb="FFFFD85D"/>
      </patternFill>
    </fill>
    <fill>
      <patternFill patternType="solid">
        <fgColor rgb="FFFFD965"/>
        <bgColor rgb="FFFFD96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0B5394"/>
        <bgColor rgb="FF0B5394"/>
      </patternFill>
    </fill>
    <fill>
      <patternFill patternType="solid">
        <fgColor rgb="FF3D85C6"/>
        <bgColor rgb="FF3D85C6"/>
      </patternFill>
    </fill>
    <fill>
      <patternFill patternType="solid">
        <fgColor rgb="FFCFE2F3"/>
        <bgColor rgb="FFCFE2F3"/>
      </patternFill>
    </fill>
  </fills>
  <borders count="31">
    <border/>
    <border>
      <bottom style="thin">
        <color theme="1"/>
      </bottom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</border>
    <border>
      <left style="thin">
        <color theme="1"/>
      </left>
      <top style="thin">
        <color theme="1"/>
      </top>
      <bottom style="thin">
        <color theme="1"/>
      </bottom>
    </border>
    <border>
      <right style="thin">
        <color theme="1"/>
      </right>
      <top style="thin">
        <color theme="1"/>
      </top>
      <bottom style="thin">
        <color theme="1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theme="1"/>
      </left>
    </border>
    <border>
      <top style="thin">
        <color theme="1"/>
      </top>
      <bottom style="thin">
        <color theme="1"/>
      </bottom>
    </border>
    <border>
      <left style="thin">
        <color theme="1"/>
      </left>
      <right style="thin">
        <color theme="1"/>
      </right>
      <top style="thin">
        <color theme="1"/>
      </top>
    </border>
    <border>
      <left style="thin">
        <color theme="1"/>
      </left>
      <right style="thin">
        <color theme="1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1"/>
      </left>
      <right/>
      <top style="thin">
        <color theme="1"/>
      </top>
    </border>
    <border>
      <left style="thin">
        <color theme="1"/>
      </left>
      <right style="thin">
        <color theme="1"/>
      </right>
      <bottom style="thin">
        <color theme="1"/>
      </bottom>
    </border>
    <border>
      <left style="thin">
        <color theme="1"/>
      </left>
      <right/>
    </border>
    <border>
      <left style="thin">
        <color theme="1"/>
      </left>
      <top style="thin">
        <color theme="1"/>
      </top>
    </border>
    <border>
      <top style="thin">
        <color theme="1"/>
      </top>
    </border>
    <border>
      <right style="thin">
        <color theme="1"/>
      </right>
      <top style="thin">
        <color theme="1"/>
      </top>
    </border>
    <border>
      <right style="thin">
        <color theme="1"/>
      </right>
    </border>
    <border>
      <left style="thin">
        <color theme="1"/>
      </left>
      <bottom style="thin">
        <color theme="1"/>
      </bottom>
    </border>
    <border>
      <right style="thin">
        <color theme="1"/>
      </right>
      <bottom style="thin">
        <color theme="1"/>
      </bottom>
    </border>
    <border>
      <left style="thin">
        <color theme="1"/>
      </left>
      <right style="thin">
        <color theme="1"/>
      </right>
      <bottom/>
    </border>
    <border>
      <left style="thin">
        <color theme="1"/>
      </left>
      <right/>
      <bottom style="thin">
        <color theme="1"/>
      </bottom>
    </border>
    <border>
      <left style="thin">
        <color theme="1"/>
      </left>
      <right style="thin">
        <color theme="1"/>
      </right>
      <top/>
    </border>
    <border>
      <left style="thin">
        <color theme="1"/>
      </left>
      <right style="thin">
        <color theme="1"/>
      </right>
      <top/>
      <bottom style="thin">
        <color theme="1"/>
      </bottom>
    </border>
    <border>
      <left style="thin">
        <color theme="1"/>
      </left>
      <right style="thin">
        <color theme="1"/>
      </right>
      <top style="thin">
        <color theme="1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1" fillId="0" fontId="1" numFmtId="0" xfId="0" applyAlignment="1" applyBorder="1" applyFont="1">
      <alignment vertical="center"/>
    </xf>
    <xf borderId="0" fillId="0" fontId="1" numFmtId="0" xfId="0" applyAlignment="1" applyFont="1">
      <alignment horizontal="center" vertical="center"/>
    </xf>
    <xf borderId="2" fillId="2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right" vertical="center"/>
    </xf>
    <xf borderId="3" fillId="0" fontId="1" numFmtId="0" xfId="0" applyAlignment="1" applyBorder="1" applyFont="1">
      <alignment horizontal="center" vertical="center"/>
    </xf>
    <xf borderId="4" fillId="0" fontId="3" numFmtId="0" xfId="0" applyBorder="1" applyFont="1"/>
    <xf borderId="2" fillId="0" fontId="1" numFmtId="0" xfId="0" applyAlignment="1" applyBorder="1" applyFont="1">
      <alignment horizontal="center" vertical="center"/>
    </xf>
    <xf borderId="2" fillId="3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shrinkToFit="0" vertical="center" wrapText="1"/>
    </xf>
    <xf borderId="2" fillId="3" fontId="1" numFmtId="0" xfId="0" applyAlignment="1" applyBorder="1" applyFont="1">
      <alignment horizontal="center" readingOrder="0" vertical="center"/>
    </xf>
    <xf borderId="2" fillId="4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1" numFmtId="0" xfId="0" applyAlignment="1" applyBorder="1" applyFont="1">
      <alignment vertical="center"/>
    </xf>
    <xf borderId="2" fillId="0" fontId="1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left" vertical="center"/>
    </xf>
    <xf borderId="2" fillId="5" fontId="1" numFmtId="0" xfId="0" applyAlignment="1" applyBorder="1" applyFill="1" applyFont="1">
      <alignment horizontal="center" vertical="center"/>
    </xf>
    <xf borderId="2" fillId="3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vertical="center"/>
    </xf>
    <xf borderId="8" fillId="0" fontId="1" numFmtId="0" xfId="0" applyAlignment="1" applyBorder="1" applyFont="1">
      <alignment vertical="center"/>
    </xf>
    <xf borderId="7" fillId="6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shrinkToFit="0" vertical="center" wrapText="1"/>
    </xf>
    <xf borderId="3" fillId="7" fontId="2" numFmtId="0" xfId="0" applyAlignment="1" applyBorder="1" applyFill="1" applyFont="1">
      <alignment horizontal="center" vertical="center"/>
    </xf>
    <xf borderId="9" fillId="0" fontId="3" numFmtId="0" xfId="0" applyBorder="1" applyFont="1"/>
    <xf borderId="2" fillId="7" fontId="2" numFmtId="0" xfId="0" applyAlignment="1" applyBorder="1" applyFont="1">
      <alignment horizontal="center" shrinkToFit="0" vertical="center" wrapText="1"/>
    </xf>
    <xf borderId="10" fillId="7" fontId="2" numFmtId="0" xfId="0" applyAlignment="1" applyBorder="1" applyFont="1">
      <alignment horizontal="center" textRotation="90" vertical="center"/>
    </xf>
    <xf borderId="10" fillId="7" fontId="2" numFmtId="0" xfId="0" applyAlignment="1" applyBorder="1" applyFont="1">
      <alignment horizontal="center" vertical="center"/>
    </xf>
    <xf borderId="3" fillId="0" fontId="1" numFmtId="0" xfId="0" applyAlignment="1" applyBorder="1" applyFont="1">
      <alignment vertical="center"/>
    </xf>
    <xf borderId="9" fillId="0" fontId="1" numFmtId="0" xfId="0" applyAlignment="1" applyBorder="1" applyFont="1">
      <alignment vertical="center"/>
    </xf>
    <xf borderId="9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11" fillId="0" fontId="3" numFmtId="0" xfId="0" applyBorder="1" applyFont="1"/>
    <xf borderId="10" fillId="0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vertical="center"/>
    </xf>
    <xf borderId="13" fillId="7" fontId="2" numFmtId="0" xfId="0" applyAlignment="1" applyBorder="1" applyFont="1">
      <alignment horizontal="center" textRotation="90" vertical="center"/>
    </xf>
    <xf borderId="14" fillId="0" fontId="1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1" numFmtId="0" xfId="0" applyAlignment="1" applyBorder="1" applyFont="1">
      <alignment vertical="center"/>
    </xf>
    <xf borderId="17" fillId="0" fontId="1" numFmtId="0" xfId="0" applyAlignment="1" applyBorder="1" applyFont="1">
      <alignment vertical="center"/>
    </xf>
    <xf borderId="16" fillId="0" fontId="1" numFmtId="0" xfId="0" applyAlignment="1" applyBorder="1" applyFont="1">
      <alignment horizontal="center" vertical="center"/>
    </xf>
    <xf borderId="17" fillId="0" fontId="1" numFmtId="0" xfId="0" applyAlignment="1" applyBorder="1" applyFont="1">
      <alignment horizontal="center" vertical="center"/>
    </xf>
    <xf borderId="18" fillId="0" fontId="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center" readingOrder="0" vertical="center"/>
    </xf>
    <xf borderId="14" fillId="0" fontId="3" numFmtId="0" xfId="0" applyBorder="1" applyFont="1"/>
    <xf borderId="20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1" fillId="0" fontId="1" numFmtId="0" xfId="0" applyAlignment="1" applyBorder="1" applyFont="1">
      <alignment horizontal="center" vertical="center"/>
    </xf>
    <xf borderId="20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  <xf borderId="22" fillId="0" fontId="3" numFmtId="0" xfId="0" applyBorder="1" applyFont="1"/>
    <xf borderId="3" fillId="0" fontId="1" numFmtId="0" xfId="0" applyAlignment="1" applyBorder="1" applyFont="1">
      <alignment horizontal="right" vertical="center"/>
    </xf>
    <xf borderId="9" fillId="0" fontId="1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shrinkToFit="0" vertical="center" wrapText="1"/>
    </xf>
    <xf borderId="14" fillId="0" fontId="1" numFmtId="0" xfId="0" applyAlignment="1" applyBorder="1" applyFont="1">
      <alignment readingOrder="0" vertical="center"/>
    </xf>
    <xf borderId="20" fillId="0" fontId="1" numFmtId="0" xfId="0" applyAlignment="1" applyBorder="1" applyFont="1">
      <alignment vertical="center"/>
    </xf>
    <xf borderId="9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right" vertical="center"/>
    </xf>
    <xf borderId="4" fillId="0" fontId="1" numFmtId="0" xfId="0" applyAlignment="1" applyBorder="1" applyFont="1">
      <alignment horizontal="left" vertical="center"/>
    </xf>
    <xf borderId="21" fillId="0" fontId="1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vertical="center"/>
    </xf>
    <xf borderId="10" fillId="7" fontId="2" numFmtId="0" xfId="0" applyAlignment="1" applyBorder="1" applyFont="1">
      <alignment horizontal="center" shrinkToFit="0" textRotation="90" vertical="center" wrapText="1"/>
    </xf>
    <xf borderId="1" fillId="0" fontId="1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vertical="center"/>
    </xf>
    <xf borderId="21" fillId="0" fontId="1" numFmtId="9" xfId="0" applyAlignment="1" applyBorder="1" applyFont="1" applyNumberFormat="1">
      <alignment horizontal="center" vertical="center"/>
    </xf>
    <xf borderId="11" fillId="0" fontId="1" numFmtId="0" xfId="0" applyAlignment="1" applyBorder="1" applyFont="1">
      <alignment vertical="center"/>
    </xf>
    <xf borderId="23" fillId="0" fontId="3" numFmtId="0" xfId="0" applyBorder="1" applyFont="1"/>
    <xf borderId="10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left" vertical="center"/>
    </xf>
    <xf borderId="24" fillId="7" fontId="2" numFmtId="0" xfId="0" applyAlignment="1" applyBorder="1" applyFont="1">
      <alignment horizontal="center" textRotation="90" vertical="center"/>
    </xf>
    <xf borderId="0" fillId="0" fontId="1" numFmtId="0" xfId="0" applyAlignment="1" applyFont="1">
      <alignment shrinkToFit="0" vertical="center" wrapText="1"/>
    </xf>
    <xf borderId="12" fillId="0" fontId="1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12" fillId="6" fontId="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shrinkToFit="0" vertical="center" wrapText="1"/>
    </xf>
    <xf borderId="2" fillId="8" fontId="1" numFmtId="0" xfId="0" applyAlignment="1" applyBorder="1" applyFill="1" applyFont="1">
      <alignment vertical="center"/>
    </xf>
    <xf borderId="2" fillId="8" fontId="1" numFmtId="0" xfId="0" applyAlignment="1" applyBorder="1" applyFont="1">
      <alignment horizontal="center" vertical="center"/>
    </xf>
    <xf borderId="2" fillId="8" fontId="1" numFmtId="16" xfId="0" applyAlignment="1" applyBorder="1" applyFont="1" applyNumberFormat="1">
      <alignment horizontal="center" vertical="center"/>
    </xf>
    <xf borderId="2" fillId="8" fontId="1" numFmtId="0" xfId="0" applyAlignment="1" applyBorder="1" applyFont="1">
      <alignment readingOrder="0" vertical="center"/>
    </xf>
    <xf borderId="2" fillId="8" fontId="1" numFmtId="164" xfId="0" applyAlignment="1" applyBorder="1" applyFont="1" applyNumberFormat="1">
      <alignment horizontal="center" vertical="center"/>
    </xf>
    <xf borderId="2" fillId="9" fontId="1" numFmtId="0" xfId="0" applyAlignment="1" applyBorder="1" applyFill="1" applyFont="1">
      <alignment vertical="center"/>
    </xf>
    <xf borderId="2" fillId="9" fontId="1" numFmtId="0" xfId="0" applyAlignment="1" applyBorder="1" applyFont="1">
      <alignment horizontal="center" vertical="center"/>
    </xf>
    <xf borderId="2" fillId="9" fontId="1" numFmtId="164" xfId="0" applyAlignment="1" applyBorder="1" applyFont="1" applyNumberFormat="1">
      <alignment horizontal="center" vertical="center"/>
    </xf>
    <xf borderId="2" fillId="9" fontId="1" numFmtId="0" xfId="0" applyAlignment="1" applyBorder="1" applyFont="1">
      <alignment readingOrder="0" vertical="center"/>
    </xf>
    <xf borderId="2" fillId="10" fontId="1" numFmtId="0" xfId="0" applyAlignment="1" applyBorder="1" applyFill="1" applyFont="1">
      <alignment vertical="center"/>
    </xf>
    <xf borderId="2" fillId="10" fontId="1" numFmtId="0" xfId="0" applyAlignment="1" applyBorder="1" applyFont="1">
      <alignment horizontal="center" vertical="center"/>
    </xf>
    <xf borderId="2" fillId="10" fontId="1" numFmtId="164" xfId="0" applyAlignment="1" applyBorder="1" applyFont="1" applyNumberFormat="1">
      <alignment horizontal="center" readingOrder="0" vertical="center"/>
    </xf>
    <xf borderId="2" fillId="10" fontId="1" numFmtId="0" xfId="0" applyAlignment="1" applyBorder="1" applyFont="1">
      <alignment horizontal="center" shrinkToFit="0" vertical="center" wrapText="1"/>
    </xf>
    <xf borderId="2" fillId="10" fontId="1" numFmtId="0" xfId="0" applyAlignment="1" applyBorder="1" applyFont="1">
      <alignment readingOrder="0" vertical="center"/>
    </xf>
    <xf borderId="2" fillId="10" fontId="1" numFmtId="164" xfId="0" applyAlignment="1" applyBorder="1" applyFont="1" applyNumberFormat="1">
      <alignment horizontal="center" vertical="center"/>
    </xf>
    <xf borderId="2" fillId="10" fontId="1" numFmtId="2" xfId="0" applyAlignment="1" applyBorder="1" applyFont="1" applyNumberFormat="1">
      <alignment horizontal="center" vertical="center"/>
    </xf>
    <xf borderId="2" fillId="10" fontId="1" numFmtId="0" xfId="0" applyAlignment="1" applyBorder="1" applyFont="1">
      <alignment horizontal="center" readingOrder="0" vertical="center"/>
    </xf>
    <xf borderId="2" fillId="11" fontId="1" numFmtId="0" xfId="0" applyAlignment="1" applyBorder="1" applyFill="1" applyFont="1">
      <alignment vertical="center"/>
    </xf>
    <xf borderId="2" fillId="11" fontId="1" numFmtId="0" xfId="0" applyAlignment="1" applyBorder="1" applyFont="1">
      <alignment horizontal="center" vertical="center"/>
    </xf>
    <xf borderId="2" fillId="11" fontId="1" numFmtId="164" xfId="0" applyAlignment="1" applyBorder="1" applyFont="1" applyNumberFormat="1">
      <alignment horizontal="center" readingOrder="0" vertical="center"/>
    </xf>
    <xf borderId="2" fillId="11" fontId="1" numFmtId="164" xfId="0" applyAlignment="1" applyBorder="1" applyFont="1" applyNumberFormat="1">
      <alignment horizontal="center" vertical="center"/>
    </xf>
    <xf borderId="2" fillId="11" fontId="1" numFmtId="2" xfId="0" applyAlignment="1" applyBorder="1" applyFont="1" applyNumberFormat="1">
      <alignment horizontal="center" vertical="center"/>
    </xf>
    <xf borderId="2" fillId="11" fontId="1" numFmtId="1" xfId="0" applyAlignment="1" applyBorder="1" applyFont="1" applyNumberFormat="1">
      <alignment horizontal="center" vertical="center"/>
    </xf>
    <xf borderId="25" fillId="11" fontId="1" numFmtId="0" xfId="0" applyAlignment="1" applyBorder="1" applyFont="1">
      <alignment vertical="center"/>
    </xf>
    <xf borderId="25" fillId="11" fontId="1" numFmtId="0" xfId="0" applyAlignment="1" applyBorder="1" applyFont="1">
      <alignment readingOrder="0" vertical="center"/>
    </xf>
    <xf borderId="2" fillId="12" fontId="1" numFmtId="0" xfId="0" applyAlignment="1" applyBorder="1" applyFill="1" applyFont="1">
      <alignment vertical="center"/>
    </xf>
    <xf borderId="2" fillId="13" fontId="1" numFmtId="0" xfId="0" applyAlignment="1" applyBorder="1" applyFill="1" applyFont="1">
      <alignment horizontal="center" vertical="center"/>
    </xf>
    <xf borderId="2" fillId="12" fontId="1" numFmtId="0" xfId="0" applyAlignment="1" applyBorder="1" applyFont="1">
      <alignment horizontal="center" vertical="center"/>
    </xf>
    <xf borderId="2" fillId="12" fontId="1" numFmtId="1" xfId="0" applyAlignment="1" applyBorder="1" applyFont="1" applyNumberFormat="1">
      <alignment horizontal="center" vertical="center"/>
    </xf>
    <xf borderId="2" fillId="12" fontId="1" numFmtId="2" xfId="0" applyAlignment="1" applyBorder="1" applyFont="1" applyNumberFormat="1">
      <alignment horizontal="center" vertical="center"/>
    </xf>
    <xf borderId="2" fillId="12" fontId="1" numFmtId="1" xfId="0" applyAlignment="1" applyBorder="1" applyFont="1" applyNumberFormat="1">
      <alignment horizontal="center" shrinkToFit="0" vertical="center" wrapText="1"/>
    </xf>
    <xf borderId="26" fillId="12" fontId="1" numFmtId="0" xfId="0" applyAlignment="1" applyBorder="1" applyFont="1">
      <alignment vertical="center"/>
    </xf>
    <xf borderId="26" fillId="12" fontId="1" numFmtId="0" xfId="0" applyAlignment="1" applyBorder="1" applyFont="1">
      <alignment horizontal="center" vertical="center"/>
    </xf>
    <xf borderId="26" fillId="12" fontId="1" numFmtId="1" xfId="0" applyAlignment="1" applyBorder="1" applyFont="1" applyNumberFormat="1">
      <alignment horizontal="center" vertical="center"/>
    </xf>
    <xf borderId="2" fillId="12" fontId="1" numFmtId="164" xfId="0" applyAlignment="1" applyBorder="1" applyFont="1" applyNumberFormat="1">
      <alignment horizontal="center" vertical="center"/>
    </xf>
    <xf borderId="2" fillId="12" fontId="1" numFmtId="0" xfId="0" applyAlignment="1" applyBorder="1" applyFont="1">
      <alignment readingOrder="0" vertical="center"/>
    </xf>
    <xf borderId="0" fillId="0" fontId="1" numFmtId="1" xfId="0" applyAlignment="1" applyFont="1" applyNumberFormat="1">
      <alignment vertical="center"/>
    </xf>
    <xf borderId="0" fillId="14" fontId="5" numFmtId="0" xfId="0" applyAlignment="1" applyFill="1" applyFont="1">
      <alignment horizontal="left" readingOrder="0"/>
    </xf>
    <xf borderId="2" fillId="0" fontId="2" numFmtId="0" xfId="0" applyAlignment="1" applyBorder="1" applyFont="1">
      <alignment horizontal="center" shrinkToFit="0" vertical="center" wrapText="1"/>
    </xf>
    <xf borderId="2" fillId="0" fontId="1" numFmtId="165" xfId="0" applyAlignment="1" applyBorder="1" applyFont="1" applyNumberFormat="1">
      <alignment horizontal="center" vertical="center"/>
    </xf>
    <xf borderId="2" fillId="0" fontId="1" numFmtId="2" xfId="0" applyAlignment="1" applyBorder="1" applyFont="1" applyNumberFormat="1">
      <alignment horizontal="center" vertical="center"/>
    </xf>
    <xf borderId="2" fillId="15" fontId="1" numFmtId="165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left" readingOrder="0"/>
    </xf>
    <xf borderId="0" fillId="0" fontId="6" numFmtId="166" xfId="0" applyAlignment="1" applyFont="1" applyNumberFormat="1">
      <alignment horizontal="left" readingOrder="0"/>
    </xf>
    <xf borderId="0" fillId="0" fontId="6" numFmtId="0" xfId="0" applyFont="1"/>
    <xf borderId="2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left" readingOrder="0" vertical="center"/>
    </xf>
    <xf borderId="2" fillId="0" fontId="1" numFmtId="2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166" xfId="0" applyAlignment="1" applyFont="1" applyNumberFormat="1">
      <alignment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0" fontId="7" numFmtId="9" xfId="0" applyAlignment="1" applyFont="1" applyNumberFormat="1">
      <alignment readingOrder="0" shrinkToFit="0" vertical="center" wrapText="1"/>
    </xf>
    <xf borderId="2" fillId="0" fontId="1" numFmtId="165" xfId="0" applyAlignment="1" applyBorder="1" applyFont="1" applyNumberFormat="1">
      <alignment vertical="center"/>
    </xf>
    <xf borderId="0" fillId="0" fontId="8" numFmtId="0" xfId="0" applyAlignment="1" applyFont="1">
      <alignment shrinkToFit="0" wrapText="0"/>
    </xf>
    <xf borderId="27" fillId="16" fontId="8" numFmtId="0" xfId="0" applyAlignment="1" applyBorder="1" applyFill="1" applyFont="1">
      <alignment horizontal="center" readingOrder="0" shrinkToFit="0" wrapText="0"/>
    </xf>
    <xf borderId="28" fillId="0" fontId="3" numFmtId="0" xfId="0" applyBorder="1" applyFont="1"/>
    <xf borderId="6" fillId="0" fontId="3" numFmtId="0" xfId="0" applyBorder="1" applyFont="1"/>
    <xf borderId="12" fillId="16" fontId="9" numFmtId="0" xfId="0" applyAlignment="1" applyBorder="1" applyFont="1">
      <alignment horizontal="center" readingOrder="0" shrinkToFit="0" vertical="center" wrapText="0"/>
    </xf>
    <xf borderId="12" fillId="16" fontId="9" numFmtId="0" xfId="0" applyAlignment="1" applyBorder="1" applyFont="1">
      <alignment horizontal="center" readingOrder="0" shrinkToFit="0" vertical="center" wrapText="1"/>
    </xf>
    <xf borderId="12" fillId="0" fontId="8" numFmtId="0" xfId="0" applyAlignment="1" applyBorder="1" applyFont="1">
      <alignment horizontal="center" readingOrder="0" shrinkToFit="0" vertical="center" wrapText="0"/>
    </xf>
    <xf borderId="0" fillId="0" fontId="8" numFmtId="0" xfId="0" applyAlignment="1" applyFont="1">
      <alignment shrinkToFit="0" vertical="center" wrapText="0"/>
    </xf>
    <xf borderId="12" fillId="17" fontId="8" numFmtId="0" xfId="0" applyAlignment="1" applyBorder="1" applyFill="1" applyFont="1">
      <alignment horizontal="center" readingOrder="0" shrinkToFit="0" vertical="center" wrapText="0"/>
    </xf>
    <xf borderId="12" fillId="16" fontId="9" numFmtId="0" xfId="0" applyAlignment="1" applyBorder="1" applyFont="1">
      <alignment horizontal="center" readingOrder="0" shrinkToFit="0" wrapText="0"/>
    </xf>
    <xf borderId="0" fillId="0" fontId="8" numFmtId="0" xfId="0" applyAlignment="1" applyFont="1">
      <alignment readingOrder="0" shrinkToFit="0" wrapText="0"/>
    </xf>
    <xf borderId="12" fillId="16" fontId="9" numFmtId="4" xfId="0" applyAlignment="1" applyBorder="1" applyFont="1" applyNumberFormat="1">
      <alignment horizontal="center" readingOrder="0" shrinkToFit="0" wrapText="0"/>
    </xf>
    <xf borderId="12" fillId="16" fontId="9" numFmtId="4" xfId="0" applyAlignment="1" applyBorder="1" applyFont="1" applyNumberFormat="1">
      <alignment horizontal="center" shrinkToFit="0" wrapText="0"/>
    </xf>
    <xf borderId="0" fillId="0" fontId="9" numFmtId="0" xfId="0" applyAlignment="1" applyFont="1">
      <alignment horizontal="center" readingOrder="0"/>
    </xf>
    <xf borderId="0" fillId="0" fontId="8" numFmtId="4" xfId="0" applyAlignment="1" applyFont="1" applyNumberFormat="1">
      <alignment shrinkToFit="0" wrapText="0"/>
    </xf>
    <xf borderId="0" fillId="0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center" shrinkToFit="0" wrapText="0"/>
    </xf>
    <xf borderId="0" fillId="0" fontId="8" numFmtId="0" xfId="0" applyAlignment="1" applyFont="1">
      <alignment shrinkToFit="0" vertical="bottom" wrapText="0"/>
    </xf>
    <xf borderId="12" fillId="18" fontId="10" numFmtId="0" xfId="0" applyAlignment="1" applyBorder="1" applyFill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12" fillId="19" fontId="10" numFmtId="0" xfId="0" applyAlignment="1" applyBorder="1" applyFill="1" applyFont="1">
      <alignment horizontal="center" readingOrder="0" shrinkToFit="0" wrapText="0"/>
    </xf>
    <xf borderId="12" fillId="19" fontId="10" numFmtId="0" xfId="0" applyAlignment="1" applyBorder="1" applyFont="1">
      <alignment horizontal="left" readingOrder="0" shrinkToFit="0" wrapText="0"/>
    </xf>
    <xf borderId="12" fillId="19" fontId="10" numFmtId="0" xfId="0" applyAlignment="1" applyBorder="1" applyFont="1">
      <alignment horizontal="left" shrinkToFit="0" wrapText="0"/>
    </xf>
    <xf borderId="12" fillId="19" fontId="10" numFmtId="0" xfId="0" applyAlignment="1" applyBorder="1" applyFont="1">
      <alignment horizontal="center" shrinkToFit="0" wrapText="0"/>
    </xf>
    <xf borderId="12" fillId="20" fontId="11" numFmtId="166" xfId="0" applyAlignment="1" applyBorder="1" applyFill="1" applyFont="1" applyNumberFormat="1">
      <alignment horizontal="center" readingOrder="0" shrinkToFit="0" wrapText="0"/>
    </xf>
    <xf borderId="12" fillId="0" fontId="11" numFmtId="0" xfId="0" applyAlignment="1" applyBorder="1" applyFont="1">
      <alignment horizontal="left" readingOrder="0" shrinkToFit="0" wrapText="0"/>
    </xf>
    <xf borderId="12" fillId="0" fontId="11" numFmtId="0" xfId="0" applyAlignment="1" applyBorder="1" applyFont="1">
      <alignment horizontal="center" readingOrder="0" shrinkToFit="0" wrapText="0"/>
    </xf>
    <xf borderId="12" fillId="0" fontId="11" numFmtId="4" xfId="0" applyAlignment="1" applyBorder="1" applyFont="1" applyNumberFormat="1">
      <alignment horizontal="center" readingOrder="0" shrinkToFit="0" wrapText="0"/>
    </xf>
    <xf borderId="12" fillId="0" fontId="11" numFmtId="0" xfId="0" applyAlignment="1" applyBorder="1" applyFont="1">
      <alignment horizontal="center" shrinkToFit="0" wrapText="0"/>
    </xf>
    <xf borderId="12" fillId="0" fontId="11" numFmtId="167" xfId="0" applyAlignment="1" applyBorder="1" applyFont="1" applyNumberFormat="1">
      <alignment horizontal="center" readingOrder="0" shrinkToFit="0" wrapText="0"/>
    </xf>
    <xf borderId="12" fillId="0" fontId="11" numFmtId="0" xfId="0" applyAlignment="1" applyBorder="1" applyFont="1">
      <alignment horizontal="center" shrinkToFit="0" wrapText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horizontal="right" shrinkToFit="0" vertical="center" wrapText="0"/>
    </xf>
    <xf borderId="0" fillId="0" fontId="11" numFmtId="0" xfId="0" applyAlignment="1" applyFont="1">
      <alignment horizontal="left" shrinkToFit="0" vertical="center" wrapText="0"/>
    </xf>
    <xf borderId="0" fillId="0" fontId="1" numFmtId="0" xfId="0" applyAlignment="1" applyFont="1">
      <alignment vertical="center"/>
    </xf>
    <xf borderId="0" fillId="0" fontId="14" numFmtId="0" xfId="0" applyAlignment="1" applyFont="1">
      <alignment horizontal="left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left" vertical="center"/>
    </xf>
    <xf borderId="12" fillId="0" fontId="13" numFmtId="0" xfId="0" applyAlignment="1" applyBorder="1" applyFont="1">
      <alignment horizontal="center" readingOrder="0" shrinkToFit="0" vertical="center" wrapText="1"/>
    </xf>
    <xf borderId="6" fillId="0" fontId="13" numFmtId="0" xfId="0" applyAlignment="1" applyBorder="1" applyFont="1">
      <alignment horizontal="center" readingOrder="0" shrinkToFit="0" vertical="center" wrapText="1"/>
    </xf>
    <xf borderId="28" fillId="0" fontId="1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0" fontId="15" numFmtId="0" xfId="0" applyAlignment="1" applyBorder="1" applyFont="1">
      <alignment horizontal="left" shrinkToFit="0" vertical="center" wrapText="0"/>
    </xf>
    <xf borderId="28" fillId="0" fontId="15" numFmtId="0" xfId="0" applyAlignment="1" applyBorder="1" applyFont="1">
      <alignment horizontal="left" readingOrder="0" shrinkToFit="0" vertical="center" wrapText="0"/>
    </xf>
    <xf borderId="0" fillId="0" fontId="11" numFmtId="0" xfId="0" applyAlignment="1" applyFont="1">
      <alignment shrinkToFit="0" vertical="center" wrapText="0"/>
    </xf>
    <xf borderId="12" fillId="19" fontId="10" numFmtId="0" xfId="0" applyAlignment="1" applyBorder="1" applyFont="1">
      <alignment horizontal="center" readingOrder="0" shrinkToFit="0" vertical="center" wrapText="0"/>
    </xf>
    <xf borderId="12" fillId="19" fontId="10" numFmtId="0" xfId="0" applyAlignment="1" applyBorder="1" applyFont="1">
      <alignment horizontal="left" readingOrder="0" shrinkToFit="0" vertical="center" wrapText="0"/>
    </xf>
    <xf borderId="12" fillId="19" fontId="10" numFmtId="0" xfId="0" applyAlignment="1" applyBorder="1" applyFont="1">
      <alignment horizontal="left" shrinkToFit="0" vertical="center" wrapText="0"/>
    </xf>
    <xf borderId="12" fillId="19" fontId="10" numFmtId="0" xfId="0" applyAlignment="1" applyBorder="1" applyFont="1">
      <alignment horizontal="right" shrinkToFit="0" vertical="center" wrapText="0"/>
    </xf>
    <xf borderId="12" fillId="19" fontId="10" numFmtId="0" xfId="0" applyAlignment="1" applyBorder="1" applyFont="1">
      <alignment readingOrder="0" shrinkToFit="0" wrapText="0"/>
    </xf>
    <xf borderId="29" fillId="20" fontId="13" numFmtId="0" xfId="0" applyAlignment="1" applyBorder="1" applyFont="1">
      <alignment horizontal="left" readingOrder="0" shrinkToFit="0" vertical="center" wrapText="0"/>
    </xf>
    <xf borderId="12" fillId="20" fontId="13" numFmtId="0" xfId="0" applyAlignment="1" applyBorder="1" applyFont="1">
      <alignment horizontal="left" readingOrder="0" shrinkToFit="0" vertical="center" wrapText="0"/>
    </xf>
    <xf borderId="12" fillId="19" fontId="11" numFmtId="4" xfId="0" applyAlignment="1" applyBorder="1" applyFont="1" applyNumberFormat="1">
      <alignment horizontal="center" readingOrder="0" shrinkToFit="0" wrapText="0"/>
    </xf>
    <xf borderId="12" fillId="20" fontId="13" numFmtId="0" xfId="0" applyAlignment="1" applyBorder="1" applyFont="1">
      <alignment horizontal="center" shrinkToFit="0" vertical="center" wrapText="0"/>
    </xf>
    <xf borderId="12" fillId="20" fontId="13" numFmtId="0" xfId="0" applyAlignment="1" applyBorder="1" applyFont="1">
      <alignment shrinkToFit="0" vertical="center" wrapText="0"/>
    </xf>
    <xf borderId="12" fillId="20" fontId="13" numFmtId="0" xfId="0" applyAlignment="1" applyBorder="1" applyFont="1">
      <alignment horizontal="center" readingOrder="0" shrinkToFit="0" vertical="center" wrapText="0"/>
    </xf>
    <xf borderId="12" fillId="19" fontId="10" numFmtId="4" xfId="0" applyAlignment="1" applyBorder="1" applyFont="1" applyNumberFormat="1">
      <alignment horizontal="center" readingOrder="0" shrinkToFit="0" wrapText="0"/>
    </xf>
    <xf borderId="12" fillId="19" fontId="11" numFmtId="167" xfId="0" applyAlignment="1" applyBorder="1" applyFont="1" applyNumberFormat="1">
      <alignment horizontal="center" readingOrder="0" shrinkToFit="0" wrapText="0"/>
    </xf>
    <xf borderId="12" fillId="20" fontId="13" numFmtId="167" xfId="0" applyAlignment="1" applyBorder="1" applyFont="1" applyNumberFormat="1">
      <alignment horizontal="right" readingOrder="0" shrinkToFit="0" vertical="center" wrapText="0"/>
    </xf>
    <xf borderId="0" fillId="0" fontId="13" numFmtId="0" xfId="0" applyAlignment="1" applyFont="1">
      <alignment shrinkToFit="0" vertical="center" wrapText="0"/>
    </xf>
    <xf borderId="12" fillId="19" fontId="10" numFmtId="167" xfId="0" applyAlignment="1" applyBorder="1" applyFont="1" applyNumberFormat="1">
      <alignment horizontal="center" readingOrder="0" shrinkToFit="0" wrapText="0"/>
    </xf>
    <xf borderId="29" fillId="0" fontId="11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readingOrder="0"/>
    </xf>
    <xf borderId="12" fillId="0" fontId="13" numFmtId="0" xfId="0" applyAlignment="1" applyBorder="1" applyFont="1">
      <alignment horizontal="center" readingOrder="0" shrinkToFit="0" vertical="center" wrapText="0"/>
    </xf>
    <xf borderId="12" fillId="0" fontId="11" numFmtId="0" xfId="0" applyAlignment="1" applyBorder="1" applyFont="1">
      <alignment horizontal="center" readingOrder="0" shrinkToFit="0" vertical="center" wrapText="0"/>
    </xf>
    <xf borderId="12" fillId="0" fontId="11" numFmtId="167" xfId="0" applyAlignment="1" applyBorder="1" applyFont="1" applyNumberFormat="1">
      <alignment horizontal="right" readingOrder="0" shrinkToFit="0" vertical="center" wrapText="0"/>
    </xf>
    <xf borderId="12" fillId="0" fontId="11" numFmtId="167" xfId="0" applyAlignment="1" applyBorder="1" applyFont="1" applyNumberFormat="1">
      <alignment horizontal="center" readingOrder="0" shrinkToFit="0" vertical="center" wrapText="0"/>
    </xf>
    <xf borderId="12" fillId="0" fontId="13" numFmtId="0" xfId="0" applyAlignment="1" applyBorder="1" applyFont="1">
      <alignment horizontal="right" shrinkToFit="0" vertical="center" wrapText="0"/>
    </xf>
    <xf borderId="12" fillId="0" fontId="11" numFmtId="0" xfId="0" applyAlignment="1" applyBorder="1" applyFont="1">
      <alignment horizontal="left" readingOrder="0" shrinkToFit="0" vertical="center" wrapText="0"/>
    </xf>
    <xf borderId="29" fillId="0" fontId="1" numFmtId="0" xfId="0" applyAlignment="1" applyBorder="1" applyFont="1">
      <alignment horizontal="left" shrinkToFit="0" vertical="center" wrapText="0"/>
    </xf>
    <xf borderId="12" fillId="0" fontId="1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horizontal="center" readingOrder="0" shrinkToFit="0" vertical="center" wrapText="0"/>
    </xf>
    <xf borderId="12" fillId="0" fontId="1" numFmtId="167" xfId="0" applyAlignment="1" applyBorder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12" fillId="20" fontId="13" numFmtId="167" xfId="0" applyAlignment="1" applyBorder="1" applyFont="1" applyNumberFormat="1">
      <alignment shrinkToFit="0" vertical="center" wrapText="0"/>
    </xf>
    <xf borderId="12" fillId="0" fontId="11" numFmtId="0" xfId="0" applyAlignment="1" applyBorder="1" applyFont="1">
      <alignment horizontal="left" readingOrder="0" vertical="center"/>
    </xf>
    <xf borderId="12" fillId="0" fontId="13" numFmtId="0" xfId="0" applyAlignment="1" applyBorder="1" applyFont="1">
      <alignment horizontal="right" readingOrder="0" shrinkToFit="0" vertical="center" wrapText="0"/>
    </xf>
    <xf borderId="12" fillId="0" fontId="1" numFmtId="0" xfId="0" applyAlignment="1" applyBorder="1" applyFont="1">
      <alignment readingOrder="0" vertical="center"/>
    </xf>
    <xf borderId="12" fillId="19" fontId="10" numFmtId="4" xfId="0" applyAlignment="1" applyBorder="1" applyFont="1" applyNumberFormat="1">
      <alignment horizontal="center" shrinkToFit="0" wrapText="0"/>
    </xf>
    <xf borderId="12" fillId="19" fontId="10" numFmtId="167" xfId="0" applyAlignment="1" applyBorder="1" applyFont="1" applyNumberFormat="1">
      <alignment horizontal="center" shrinkToFit="0" wrapText="0"/>
    </xf>
    <xf borderId="12" fillId="0" fontId="11" numFmtId="0" xfId="0" applyAlignment="1" applyBorder="1" applyFont="1">
      <alignment readingOrder="0" shrinkToFit="0" wrapText="0"/>
    </xf>
    <xf borderId="12" fillId="0" fontId="11" numFmtId="4" xfId="0" applyAlignment="1" applyBorder="1" applyFont="1" applyNumberFormat="1">
      <alignment horizontal="center" shrinkToFit="0" wrapText="0"/>
    </xf>
    <xf borderId="12" fillId="0" fontId="2" numFmtId="0" xfId="0" applyAlignment="1" applyBorder="1" applyFont="1">
      <alignment horizontal="right" shrinkToFit="0" vertical="center" wrapText="0"/>
    </xf>
    <xf borderId="12" fillId="0" fontId="11" numFmtId="4" xfId="0" applyAlignment="1" applyBorder="1" applyFont="1" applyNumberFormat="1">
      <alignment shrinkToFit="0" wrapText="0"/>
    </xf>
    <xf borderId="12" fillId="0" fontId="11" numFmtId="0" xfId="0" applyAlignment="1" applyBorder="1" applyFont="1">
      <alignment shrinkToFit="0" wrapText="0"/>
    </xf>
    <xf borderId="12" fillId="20" fontId="11" numFmtId="167" xfId="0" applyAlignment="1" applyBorder="1" applyFont="1" applyNumberFormat="1">
      <alignment shrinkToFit="0" vertical="center" wrapText="0"/>
    </xf>
    <xf borderId="12" fillId="0" fontId="15" numFmtId="0" xfId="0" applyAlignment="1" applyBorder="1" applyFont="1">
      <alignment horizontal="right" shrinkToFit="0" vertical="center" wrapText="0"/>
    </xf>
    <xf borderId="0" fillId="0" fontId="15" numFmtId="0" xfId="0" applyAlignment="1" applyFont="1">
      <alignment shrinkToFit="0" vertical="center" wrapText="0"/>
    </xf>
    <xf borderId="12" fillId="15" fontId="11" numFmtId="0" xfId="0" applyAlignment="1" applyBorder="1" applyFont="1">
      <alignment horizontal="center" shrinkToFit="0" wrapText="0"/>
    </xf>
    <xf borderId="27" fillId="15" fontId="11" numFmtId="0" xfId="0" applyAlignment="1" applyBorder="1" applyFont="1">
      <alignment horizontal="right" readingOrder="0" shrinkToFit="0" wrapText="0"/>
    </xf>
    <xf borderId="12" fillId="15" fontId="11" numFmtId="0" xfId="0" applyAlignment="1" applyBorder="1" applyFont="1">
      <alignment shrinkToFit="0" wrapText="0"/>
    </xf>
    <xf borderId="12" fillId="15" fontId="11" numFmtId="0" xfId="0" applyAlignment="1" applyBorder="1" applyFont="1">
      <alignment readingOrder="0" shrinkToFit="0" wrapText="0"/>
    </xf>
    <xf borderId="27" fillId="0" fontId="11" numFmtId="0" xfId="0" applyAlignment="1" applyBorder="1" applyFont="1">
      <alignment horizontal="right" readingOrder="0" shrinkToFit="0" wrapText="0"/>
    </xf>
    <xf borderId="12" fillId="20" fontId="11" numFmtId="0" xfId="0" applyAlignment="1" applyBorder="1" applyFont="1">
      <alignment horizontal="center" shrinkToFit="0" vertical="center" wrapText="0"/>
    </xf>
    <xf borderId="30" fillId="20" fontId="2" numFmtId="0" xfId="0" applyAlignment="1" applyBorder="1" applyFont="1">
      <alignment horizontal="left" readingOrder="0" shrinkToFit="0" vertical="center" wrapText="0"/>
    </xf>
    <xf borderId="12" fillId="20" fontId="2" numFmtId="0" xfId="0" applyAlignment="1" applyBorder="1" applyFont="1">
      <alignment horizontal="left" readingOrder="0" shrinkToFit="0" vertical="center" wrapText="0"/>
    </xf>
    <xf borderId="12" fillId="20" fontId="2" numFmtId="0" xfId="0" applyAlignment="1" applyBorder="1" applyFont="1">
      <alignment horizontal="center" shrinkToFit="0" vertical="center" wrapText="0"/>
    </xf>
    <xf borderId="12" fillId="20" fontId="1" numFmtId="167" xfId="0" applyAlignment="1" applyBorder="1" applyFont="1" applyNumberFormat="1">
      <alignment shrinkToFit="0" vertical="center" wrapText="0"/>
    </xf>
    <xf borderId="12" fillId="20" fontId="2" numFmtId="0" xfId="0" applyAlignment="1" applyBorder="1" applyFont="1">
      <alignment horizontal="center" readingOrder="0" shrinkToFit="0" vertical="center" wrapText="0"/>
    </xf>
    <xf borderId="12" fillId="0" fontId="1" numFmtId="0" xfId="0" applyAlignment="1" applyBorder="1" applyFont="1">
      <alignment horizontal="center" readingOrder="0" shrinkToFit="0" vertical="center" wrapText="0"/>
    </xf>
    <xf borderId="12" fillId="0" fontId="1" numFmtId="167" xfId="0" applyAlignment="1" applyBorder="1" applyFont="1" applyNumberFormat="1">
      <alignment horizontal="center" readingOrder="0" shrinkToFit="0" vertical="center" wrapText="0"/>
    </xf>
    <xf borderId="30" fillId="0" fontId="11" numFmtId="0" xfId="0" applyAlignment="1" applyBorder="1" applyFont="1">
      <alignment horizontal="left" shrinkToFit="0" vertical="center" wrapText="0"/>
    </xf>
    <xf borderId="30" fillId="0" fontId="1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2" fillId="20" fontId="13" numFmtId="167" xfId="0" applyAlignment="1" applyBorder="1" applyFont="1" applyNumberFormat="1">
      <alignment horizontal="right" shrinkToFit="0" vertical="center" wrapText="0"/>
    </xf>
    <xf borderId="0" fillId="20" fontId="13" numFmtId="0" xfId="0" applyAlignment="1" applyFont="1">
      <alignment horizontal="left" readingOrder="0" shrinkToFit="0" vertical="center" wrapText="0"/>
    </xf>
    <xf borderId="12" fillId="20" fontId="13" numFmtId="167" xfId="0" applyAlignment="1" applyBorder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left" readingOrder="0" shrinkToFit="0" vertical="center" wrapText="0"/>
    </xf>
    <xf borderId="12" fillId="0" fontId="13" numFmtId="167" xfId="0" applyAlignment="1" applyBorder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 shrinkToFit="0" vertical="center" wrapText="0"/>
    </xf>
    <xf borderId="12" fillId="0" fontId="6" numFmtId="0" xfId="0" applyAlignment="1" applyBorder="1" applyFont="1">
      <alignment horizontal="center" readingOrder="0"/>
    </xf>
    <xf borderId="27" fillId="0" fontId="13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ECHO_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57150</xdr:colOff>
      <xdr:row>4</xdr:row>
      <xdr:rowOff>142875</xdr:rowOff>
    </xdr:from>
    <xdr:ext cx="952500" cy="38100"/>
    <xdr:grpSp>
      <xdr:nvGrpSpPr>
        <xdr:cNvPr id="2" name="Shape 2"/>
        <xdr:cNvGrpSpPr/>
      </xdr:nvGrpSpPr>
      <xdr:grpSpPr>
        <a:xfrm>
          <a:off x="4869750" y="3780000"/>
          <a:ext cx="952500" cy="0"/>
          <a:chOff x="4869750" y="3780000"/>
          <a:chExt cx="952500" cy="0"/>
        </a:xfrm>
      </xdr:grpSpPr>
      <xdr:cxnSp>
        <xdr:nvCxnSpPr>
          <xdr:cNvPr id="3" name="Shape 3"/>
          <xdr:cNvCxnSpPr/>
        </xdr:nvCxnSpPr>
        <xdr:spPr>
          <a:xfrm>
            <a:off x="4869750" y="3780000"/>
            <a:ext cx="952500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57150</xdr:colOff>
      <xdr:row>5</xdr:row>
      <xdr:rowOff>133350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6" name="Shape 6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57150</xdr:colOff>
      <xdr:row>4</xdr:row>
      <xdr:rowOff>142875</xdr:rowOff>
    </xdr:from>
    <xdr:ext cx="952500" cy="38100"/>
    <xdr:grpSp>
      <xdr:nvGrpSpPr>
        <xdr:cNvPr id="2" name="Shape 2"/>
        <xdr:cNvGrpSpPr/>
      </xdr:nvGrpSpPr>
      <xdr:grpSpPr>
        <a:xfrm>
          <a:off x="4869750" y="3780000"/>
          <a:ext cx="952500" cy="0"/>
          <a:chOff x="4869750" y="3780000"/>
          <a:chExt cx="952500" cy="0"/>
        </a:xfrm>
      </xdr:grpSpPr>
      <xdr:cxnSp>
        <xdr:nvCxnSpPr>
          <xdr:cNvPr id="3" name="Shape 3"/>
          <xdr:cNvCxnSpPr/>
        </xdr:nvCxnSpPr>
        <xdr:spPr>
          <a:xfrm>
            <a:off x="4869750" y="3780000"/>
            <a:ext cx="952500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57150</xdr:colOff>
      <xdr:row>5</xdr:row>
      <xdr:rowOff>133350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57150</xdr:colOff>
      <xdr:row>6</xdr:row>
      <xdr:rowOff>142875</xdr:rowOff>
    </xdr:from>
    <xdr:ext cx="952500" cy="38100"/>
    <xdr:grpSp>
      <xdr:nvGrpSpPr>
        <xdr:cNvPr id="2" name="Shape 2"/>
        <xdr:cNvGrpSpPr/>
      </xdr:nvGrpSpPr>
      <xdr:grpSpPr>
        <a:xfrm>
          <a:off x="4869750" y="3780000"/>
          <a:ext cx="952500" cy="0"/>
          <a:chOff x="4869750" y="3780000"/>
          <a:chExt cx="952500" cy="0"/>
        </a:xfrm>
      </xdr:grpSpPr>
      <xdr:cxnSp>
        <xdr:nvCxnSpPr>
          <xdr:cNvPr id="3" name="Shape 3"/>
          <xdr:cNvCxnSpPr/>
        </xdr:nvCxnSpPr>
        <xdr:spPr>
          <a:xfrm>
            <a:off x="4869750" y="3780000"/>
            <a:ext cx="952500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47625</xdr:colOff>
      <xdr:row>7</xdr:row>
      <xdr:rowOff>161925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47625</xdr:colOff>
      <xdr:row>8</xdr:row>
      <xdr:rowOff>171450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47625</xdr:colOff>
      <xdr:row>9</xdr:row>
      <xdr:rowOff>171450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57150</xdr:colOff>
      <xdr:row>4</xdr:row>
      <xdr:rowOff>142875</xdr:rowOff>
    </xdr:from>
    <xdr:ext cx="952500" cy="38100"/>
    <xdr:grpSp>
      <xdr:nvGrpSpPr>
        <xdr:cNvPr id="2" name="Shape 2"/>
        <xdr:cNvGrpSpPr/>
      </xdr:nvGrpSpPr>
      <xdr:grpSpPr>
        <a:xfrm>
          <a:off x="4869750" y="3780000"/>
          <a:ext cx="952500" cy="0"/>
          <a:chOff x="4869750" y="3780000"/>
          <a:chExt cx="952500" cy="0"/>
        </a:xfrm>
      </xdr:grpSpPr>
      <xdr:cxnSp>
        <xdr:nvCxnSpPr>
          <xdr:cNvPr id="3" name="Shape 3"/>
          <xdr:cNvCxnSpPr/>
        </xdr:nvCxnSpPr>
        <xdr:spPr>
          <a:xfrm>
            <a:off x="4869750" y="3780000"/>
            <a:ext cx="952500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57150</xdr:colOff>
      <xdr:row>5</xdr:row>
      <xdr:rowOff>133350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57150</xdr:colOff>
      <xdr:row>6</xdr:row>
      <xdr:rowOff>142875</xdr:rowOff>
    </xdr:from>
    <xdr:ext cx="952500" cy="38100"/>
    <xdr:grpSp>
      <xdr:nvGrpSpPr>
        <xdr:cNvPr id="2" name="Shape 2"/>
        <xdr:cNvGrpSpPr/>
      </xdr:nvGrpSpPr>
      <xdr:grpSpPr>
        <a:xfrm>
          <a:off x="4869750" y="3780000"/>
          <a:ext cx="952500" cy="0"/>
          <a:chOff x="4869750" y="3780000"/>
          <a:chExt cx="952500" cy="0"/>
        </a:xfrm>
      </xdr:grpSpPr>
      <xdr:cxnSp>
        <xdr:nvCxnSpPr>
          <xdr:cNvPr id="3" name="Shape 3"/>
          <xdr:cNvCxnSpPr/>
        </xdr:nvCxnSpPr>
        <xdr:spPr>
          <a:xfrm>
            <a:off x="4869750" y="3780000"/>
            <a:ext cx="952500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47625</xdr:colOff>
      <xdr:row>7</xdr:row>
      <xdr:rowOff>161925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5</xdr:col>
      <xdr:colOff>47625</xdr:colOff>
      <xdr:row>8</xdr:row>
      <xdr:rowOff>171450</xdr:rowOff>
    </xdr:from>
    <xdr:ext cx="962025" cy="38100"/>
    <xdr:grpSp>
      <xdr:nvGrpSpPr>
        <xdr:cNvPr id="2" name="Shape 2"/>
        <xdr:cNvGrpSpPr/>
      </xdr:nvGrpSpPr>
      <xdr:grpSpPr>
        <a:xfrm>
          <a:off x="4864988" y="3780000"/>
          <a:ext cx="962025" cy="0"/>
          <a:chOff x="4864988" y="3780000"/>
          <a:chExt cx="962025" cy="0"/>
        </a:xfrm>
      </xdr:grpSpPr>
      <xdr:cxnSp>
        <xdr:nvCxnSpPr>
          <xdr:cNvPr id="5" name="Shape 5"/>
          <xdr:cNvCxnSpPr/>
        </xdr:nvCxnSpPr>
        <xdr:spPr>
          <a:xfrm>
            <a:off x="4864988" y="3780000"/>
            <a:ext cx="962025" cy="0"/>
          </a:xfrm>
          <a:prstGeom prst="straightConnector1">
            <a:avLst/>
          </a:prstGeom>
          <a:noFill/>
          <a:ln cap="flat" cmpd="sng" w="19050">
            <a:solidFill>
              <a:srgbClr val="C00000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638175</xdr:colOff>
      <xdr:row>6</xdr:row>
      <xdr:rowOff>-9525</xdr:rowOff>
    </xdr:from>
    <xdr:ext cx="180975" cy="581025"/>
    <xdr:sp>
      <xdr:nvSpPr>
        <xdr:cNvPr id="4" name="Shape 4"/>
        <xdr:cNvSpPr/>
      </xdr:nvSpPr>
      <xdr:spPr>
        <a:xfrm>
          <a:off x="5265038" y="3499013"/>
          <a:ext cx="161925" cy="561975"/>
        </a:xfrm>
        <a:prstGeom prst="leftBrace">
          <a:avLst>
            <a:gd fmla="val 8333" name="adj1"/>
            <a:gd fmla="val 50000" name="adj2"/>
          </a:avLst>
        </a:prstGeom>
        <a:noFill/>
        <a:ln cap="flat" cmpd="sng" w="19050">
          <a:solidFill>
            <a:srgbClr val="C00000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dy Quispe" id="{5d28eb07-0e4d-4a64-898d-4f8a61c890b2}" providerId="google-sheets"/>
  <x18tc:person displayName="Bill Andy" id="{4e2ae820-f624-4a57-834a-9857048efba6}" providerId="google-sheets"/>
</x18tc:personList>
</file>

<file path=xl/tables/table1.xml><?xml version="1.0" encoding="utf-8"?>
<table xmlns="http://schemas.openxmlformats.org/spreadsheetml/2006/main" ref="A1:H10" displayName="Techo_Medidas_Configuración" name="Techo_Medidas_Configuración" id="1">
  <tableColumns count="8">
    <tableColumn name="zona" id="1"/>
    <tableColumn name="inicio_x_techo" id="2"/>
    <tableColumn name="fin_x_techo" id="3"/>
    <tableColumn name="punto_medio_x_cubierta" id="4"/>
    <tableColumn name="voladizo" id="5"/>
    <tableColumn name="altura_interior_piso" id="6"/>
    <tableColumn name="cubierta" id="7"/>
    <tableColumn name="altura_viga" id="8"/>
  </tableColumns>
  <tableStyleInfo name="TECHO_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30T04:30:57.00" personId="{5d28eb07-0e4d-4a64-898d-4f8a61c890b2}" id="{3544a4da-503b-4be1-be41-911cb0d73123}" done="0">
    <x18tc:text xml:space="preserve">Consultar y verificar datos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6" dT="2026-07-15T03:30:53.00" personId="{4e2ae820-f624-4a57-834a-9857048efba6}" id="{85541945-dfe1-434b-8555-f547e7bf12de}" done="0">
    <x18tc:text xml:space="preserve">FAlta auditorio multiusos, consultar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" dT="2026-05-08T19:56:22.00" personId="{5d28eb07-0e4d-4a64-898d-4f8a61c890b2}" id="{3f6d540f-136a-4888-a1d0-f783e13a39ef}" done="0">
    <x18tc:text xml:space="preserve">Altura interior de cada piso. desde el piso(donde termina su medida), hasta el inicio del techo</x18tc:text>
  </x18tc:threadedComment>
  <x18tc:threadedComment ref="G1" dT="2026-05-08T19:57:30.00" personId="{5d28eb07-0e4d-4a64-898d-4f8a61c890b2}" id="{003238fa-372d-4e21-893c-639317e55813}" done="0">
    <x18tc:text xml:space="preserve">Altura del techo, es igual al porcentaje del ancho del pabellon.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9.0"/>
    <col customWidth="1" min="3" max="3" width="10.29"/>
    <col customWidth="1" min="4" max="4" width="18.57"/>
    <col customWidth="1" min="5" max="5" width="12.0"/>
    <col customWidth="1" min="6" max="6" width="16.43"/>
    <col customWidth="1" min="7" max="7" width="9.57"/>
    <col customWidth="1" min="8" max="8" width="13.0"/>
    <col customWidth="1" min="9" max="9" width="12.29"/>
    <col customWidth="1" min="10" max="18" width="11.43"/>
    <col customWidth="1" min="19" max="19" width="23.57"/>
    <col customWidth="1" min="20" max="20" width="15.0"/>
    <col customWidth="1" min="21" max="23" width="11.43"/>
    <col customWidth="1" min="24" max="26" width="10.71"/>
  </cols>
  <sheetData>
    <row r="1" ht="12.0" customHeight="1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0" customHeight="1">
      <c r="A2" s="1"/>
      <c r="B2" s="1"/>
      <c r="C2" s="3">
        <v>0.0</v>
      </c>
      <c r="D2" s="1"/>
      <c r="E2" s="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0" customHeight="1">
      <c r="A3" s="1"/>
      <c r="B3" s="1"/>
      <c r="C3" s="1"/>
      <c r="D3" s="5" t="s">
        <v>3</v>
      </c>
      <c r="E3" s="6">
        <v>0.0</v>
      </c>
      <c r="F3" s="1" t="s">
        <v>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8" t="s">
        <v>9</v>
      </c>
      <c r="S4" s="9"/>
      <c r="T4" s="10" t="s">
        <v>10</v>
      </c>
      <c r="U4" s="10" t="s">
        <v>11</v>
      </c>
      <c r="V4" s="10" t="s">
        <v>12</v>
      </c>
      <c r="W4" s="10" t="s">
        <v>13</v>
      </c>
      <c r="X4" s="1"/>
      <c r="Y4" s="1"/>
      <c r="Z4" s="1"/>
    </row>
    <row r="5" ht="12.0" customHeight="1">
      <c r="A5" s="1"/>
      <c r="B5" s="1"/>
      <c r="C5" s="1"/>
      <c r="D5" s="11">
        <v>0.0</v>
      </c>
      <c r="E5" s="12" t="s">
        <v>15</v>
      </c>
      <c r="F5" s="1"/>
      <c r="G5" s="14">
        <f>IFERROR(ROUNDUP(D5/($E$3-5), 0),0)</f>
        <v>0</v>
      </c>
      <c r="H5" s="12" t="s">
        <v>17</v>
      </c>
      <c r="I5" s="1"/>
      <c r="J5" s="1"/>
      <c r="K5" s="1"/>
      <c r="L5" s="1"/>
      <c r="M5" s="1"/>
      <c r="N5" s="14" t="s">
        <v>19</v>
      </c>
      <c r="O5" s="1" t="s">
        <v>20</v>
      </c>
      <c r="P5" s="1"/>
      <c r="Q5" s="1"/>
      <c r="R5" s="10">
        <v>1.0</v>
      </c>
      <c r="S5" s="16" t="s">
        <v>22</v>
      </c>
      <c r="T5" s="17" t="s">
        <v>24</v>
      </c>
      <c r="U5" s="10">
        <f t="shared" ref="U5:U8" si="1">V5+W5</f>
        <v>8</v>
      </c>
      <c r="V5" s="10">
        <v>4.0</v>
      </c>
      <c r="W5" s="10">
        <v>4.0</v>
      </c>
      <c r="X5" s="1"/>
      <c r="Y5" s="1"/>
      <c r="Z5" s="1"/>
    </row>
    <row r="6" ht="27.0" customHeight="1">
      <c r="A6" s="1"/>
      <c r="B6" s="1"/>
      <c r="C6" s="1"/>
      <c r="D6" s="11">
        <v>0.0</v>
      </c>
      <c r="E6" s="12" t="s">
        <v>27</v>
      </c>
      <c r="F6" s="1"/>
      <c r="G6" s="14">
        <f>IFERROR(ROUNDUP(D6/$E$3, 0),0)</f>
        <v>0</v>
      </c>
      <c r="H6" s="12" t="s">
        <v>31</v>
      </c>
      <c r="I6" s="1"/>
      <c r="J6" s="1"/>
      <c r="K6" s="1"/>
      <c r="L6" s="1"/>
      <c r="M6" s="1"/>
      <c r="N6" s="1"/>
      <c r="O6" s="1"/>
      <c r="P6" s="1"/>
      <c r="Q6" s="1"/>
      <c r="R6" s="10">
        <v>2.0</v>
      </c>
      <c r="S6" s="16" t="s">
        <v>32</v>
      </c>
      <c r="T6" s="17" t="s">
        <v>33</v>
      </c>
      <c r="U6" s="10">
        <f t="shared" si="1"/>
        <v>15.5</v>
      </c>
      <c r="V6" s="10">
        <v>11.5</v>
      </c>
      <c r="W6" s="10">
        <v>4.0</v>
      </c>
      <c r="X6" s="1"/>
      <c r="Y6" s="1"/>
      <c r="Z6" s="1"/>
    </row>
    <row r="7" ht="20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4">
        <f>D5+D6</f>
        <v>0</v>
      </c>
      <c r="O7" s="1" t="s">
        <v>36</v>
      </c>
      <c r="P7" s="1"/>
      <c r="Q7" s="1"/>
      <c r="R7" s="10">
        <v>3.0</v>
      </c>
      <c r="S7" s="16" t="s">
        <v>37</v>
      </c>
      <c r="T7" s="17" t="s">
        <v>38</v>
      </c>
      <c r="U7" s="10">
        <f t="shared" si="1"/>
        <v>17.5</v>
      </c>
      <c r="V7" s="10">
        <v>13.5</v>
      </c>
      <c r="W7" s="10">
        <v>4.0</v>
      </c>
      <c r="X7" s="1"/>
      <c r="Y7" s="1"/>
      <c r="Z7" s="1"/>
    </row>
    <row r="8" ht="18.75" customHeight="1">
      <c r="A8" s="1"/>
      <c r="B8" s="1"/>
      <c r="C8" s="1"/>
      <c r="D8" s="18" t="s">
        <v>43</v>
      </c>
      <c r="E8" s="1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0">
        <v>4.0</v>
      </c>
      <c r="S8" s="16" t="s">
        <v>47</v>
      </c>
      <c r="T8" s="17" t="s">
        <v>48</v>
      </c>
      <c r="U8" s="10">
        <f t="shared" si="1"/>
        <v>21.5</v>
      </c>
      <c r="V8" s="10">
        <v>17.5</v>
      </c>
      <c r="W8" s="10">
        <v>4.0</v>
      </c>
      <c r="X8" s="1"/>
      <c r="Y8" s="1"/>
      <c r="Z8" s="1"/>
    </row>
    <row r="9" ht="12.0" customHeight="1">
      <c r="A9" s="1"/>
      <c r="B9" s="1"/>
      <c r="C9" s="1"/>
      <c r="D9" s="21" t="s">
        <v>50</v>
      </c>
      <c r="E9" s="22">
        <f>IF(SUM(G5:G6)&lt;=9, 0, IF(SUM(G5:G6)&lt;=20, 1, IF(SUM(G5:G6)&lt;=40, 2, IF(SUM(G5:G6)&lt;=60, 3, "Más de 60"))))</f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" t="s">
        <v>53</v>
      </c>
      <c r="S9" s="16" t="s">
        <v>54</v>
      </c>
      <c r="T9" s="1"/>
      <c r="U9" s="1"/>
      <c r="V9" s="1"/>
      <c r="W9" s="1"/>
      <c r="X9" s="1"/>
      <c r="Y9" s="1"/>
      <c r="Z9" s="1"/>
    </row>
    <row r="10" ht="12.0" customHeight="1">
      <c r="A10" s="1"/>
      <c r="B10" s="1"/>
      <c r="C10" s="1"/>
      <c r="D10" s="21" t="s">
        <v>56</v>
      </c>
      <c r="E10" s="22">
        <f>SUM(N10:N11)</f>
        <v>0</v>
      </c>
      <c r="F10" s="1"/>
      <c r="G10" s="1"/>
      <c r="H10" s="1"/>
      <c r="I10" s="1"/>
      <c r="J10" s="1"/>
      <c r="K10" s="1"/>
      <c r="L10" s="1"/>
      <c r="M10" s="1"/>
      <c r="N10" s="23">
        <f t="shared" ref="N10:N11" si="2">G5</f>
        <v>0</v>
      </c>
      <c r="O10" s="24" t="s">
        <v>58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0" customHeight="1">
      <c r="A11" s="1"/>
      <c r="B11" s="1"/>
      <c r="C11" s="1"/>
      <c r="D11" s="21" t="s">
        <v>59</v>
      </c>
      <c r="E11" s="22">
        <f>N12+N13</f>
        <v>0</v>
      </c>
      <c r="F11" s="1"/>
      <c r="G11" s="1"/>
      <c r="H11" s="1"/>
      <c r="I11" s="1"/>
      <c r="J11" s="1"/>
      <c r="K11" s="1"/>
      <c r="L11" s="1"/>
      <c r="M11" s="1"/>
      <c r="N11" s="23">
        <f t="shared" si="2"/>
        <v>0</v>
      </c>
      <c r="O11" s="24" t="s">
        <v>61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0" customHeight="1">
      <c r="A12" s="1"/>
      <c r="B12" s="1"/>
      <c r="C12" s="1"/>
      <c r="D12" s="21" t="s">
        <v>62</v>
      </c>
      <c r="E12" s="22">
        <f>ROUNDDOWN(SUM(G5:G6)/20,0)</f>
        <v>0</v>
      </c>
      <c r="F12" s="1"/>
      <c r="G12" s="1"/>
      <c r="H12" s="1"/>
      <c r="I12" s="1"/>
      <c r="J12" s="1"/>
      <c r="K12" s="1"/>
      <c r="L12" s="1"/>
      <c r="M12" s="1"/>
      <c r="N12" s="23">
        <f t="shared" ref="N12:N13" si="3">ROUNDUP(G5/2,0)</f>
        <v>0</v>
      </c>
      <c r="O12" s="24" t="s">
        <v>58</v>
      </c>
      <c r="P12" s="1"/>
      <c r="Q12" s="1"/>
      <c r="R12" s="8" t="s">
        <v>64</v>
      </c>
      <c r="S12" s="9"/>
      <c r="T12" s="26"/>
      <c r="U12" s="5"/>
      <c r="V12" s="5"/>
      <c r="W12" s="5"/>
      <c r="X12" s="1"/>
      <c r="Y12" s="1"/>
      <c r="Z12" s="1"/>
    </row>
    <row r="13" ht="12.0" customHeight="1">
      <c r="A13" s="1"/>
      <c r="B13" s="1"/>
      <c r="C13" s="1"/>
      <c r="D13" s="21" t="s">
        <v>66</v>
      </c>
      <c r="E13" s="22">
        <f>ROUNDUP(SUM(G5:G6)/10,0)</f>
        <v>0</v>
      </c>
      <c r="F13" s="1"/>
      <c r="G13" s="1"/>
      <c r="H13" s="1"/>
      <c r="I13" s="1"/>
      <c r="J13" s="1"/>
      <c r="K13" s="1"/>
      <c r="L13" s="1"/>
      <c r="M13" s="1"/>
      <c r="N13" s="23">
        <f t="shared" si="3"/>
        <v>0</v>
      </c>
      <c r="O13" s="24" t="s">
        <v>61</v>
      </c>
      <c r="P13" s="1"/>
      <c r="Q13" s="1"/>
      <c r="R13" s="10" t="s">
        <v>68</v>
      </c>
      <c r="S13" s="10" t="s">
        <v>69</v>
      </c>
      <c r="T13" s="10" t="s">
        <v>70</v>
      </c>
      <c r="U13" s="10" t="s">
        <v>71</v>
      </c>
      <c r="V13" s="10" t="s">
        <v>70</v>
      </c>
      <c r="W13" s="10" t="s">
        <v>72</v>
      </c>
      <c r="X13" s="1"/>
      <c r="Y13" s="1"/>
      <c r="Z13" s="1"/>
    </row>
    <row r="14" ht="12.0" customHeight="1">
      <c r="A14" s="1"/>
      <c r="B14" s="1"/>
      <c r="C14" s="1"/>
      <c r="D14" s="28" t="s">
        <v>73</v>
      </c>
      <c r="E14" s="22">
        <f>ROUNDUP(SUM(G5:G6)/8,0)</f>
        <v>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0">
        <v>1.0</v>
      </c>
      <c r="S14" s="10" t="s">
        <v>76</v>
      </c>
      <c r="T14" s="10">
        <v>6.5</v>
      </c>
      <c r="U14" s="10" t="s">
        <v>77</v>
      </c>
      <c r="V14" s="10">
        <v>6.5</v>
      </c>
      <c r="W14" s="10">
        <v>4.0</v>
      </c>
      <c r="X14" s="1"/>
      <c r="Y14" s="1"/>
      <c r="Z14" s="1"/>
    </row>
    <row r="15" ht="12.0" customHeight="1">
      <c r="A15" s="1"/>
      <c r="B15" s="1"/>
      <c r="C15" s="1"/>
      <c r="D15" s="21" t="s">
        <v>78</v>
      </c>
      <c r="E15" s="22">
        <f>IF(N5="Un turno", 1, IF(N5="Ambos turnos", 2, ""))</f>
        <v>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0">
        <v>2.0</v>
      </c>
      <c r="S15" s="10" t="s">
        <v>81</v>
      </c>
      <c r="T15" s="10">
        <v>8.5</v>
      </c>
      <c r="U15" s="10" t="s">
        <v>82</v>
      </c>
      <c r="V15" s="10">
        <v>9.0</v>
      </c>
      <c r="W15" s="10">
        <v>4.0</v>
      </c>
      <c r="X15" s="1"/>
      <c r="Y15" s="1"/>
      <c r="Z15" s="1"/>
    </row>
    <row r="16" ht="12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0">
        <v>3.0</v>
      </c>
      <c r="S16" s="10" t="s">
        <v>84</v>
      </c>
      <c r="T16" s="10">
        <v>10.5</v>
      </c>
      <c r="U16" s="10" t="s">
        <v>86</v>
      </c>
      <c r="V16" s="10">
        <v>11.5</v>
      </c>
      <c r="W16" s="10">
        <v>4.0</v>
      </c>
      <c r="X16" s="1"/>
      <c r="Y16" s="1"/>
      <c r="Z16" s="1"/>
    </row>
    <row r="17" ht="12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0">
        <v>4.0</v>
      </c>
      <c r="S17" s="10" t="s">
        <v>88</v>
      </c>
      <c r="T17" s="10">
        <v>12.5</v>
      </c>
      <c r="U17" s="10" t="s">
        <v>89</v>
      </c>
      <c r="V17" s="10">
        <v>14.0</v>
      </c>
      <c r="W17" s="10">
        <v>4.0</v>
      </c>
      <c r="X17" s="1"/>
      <c r="Y17" s="1"/>
      <c r="Z17" s="1"/>
    </row>
    <row r="18" ht="12.0" customHeight="1">
      <c r="A18" s="1"/>
      <c r="B18" s="1"/>
      <c r="C18" s="2" t="s">
        <v>91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0">
        <v>5.0</v>
      </c>
      <c r="S18" s="10" t="s">
        <v>93</v>
      </c>
      <c r="T18" s="10">
        <v>14.5</v>
      </c>
      <c r="U18" s="10" t="s">
        <v>94</v>
      </c>
      <c r="V18" s="10">
        <v>16.5</v>
      </c>
      <c r="W18" s="10">
        <v>4.0</v>
      </c>
      <c r="X18" s="1"/>
      <c r="Y18" s="1"/>
      <c r="Z18" s="1"/>
    </row>
    <row r="19" ht="12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10">
        <v>6.0</v>
      </c>
      <c r="S19" s="10" t="s">
        <v>96</v>
      </c>
      <c r="T19" s="10">
        <v>16.5</v>
      </c>
      <c r="U19" s="10" t="s">
        <v>98</v>
      </c>
      <c r="V19" s="10">
        <v>19.0</v>
      </c>
      <c r="W19" s="10">
        <v>4.0</v>
      </c>
      <c r="X19" s="5"/>
      <c r="Y19" s="5"/>
      <c r="Z19" s="5"/>
    </row>
    <row r="20" ht="19.5" customHeight="1">
      <c r="A20" s="5"/>
      <c r="B20" s="29" t="s">
        <v>99</v>
      </c>
      <c r="C20" s="9"/>
      <c r="D20" s="29" t="s">
        <v>101</v>
      </c>
      <c r="E20" s="30"/>
      <c r="F20" s="9"/>
      <c r="G20" s="31" t="s">
        <v>102</v>
      </c>
      <c r="H20" s="31" t="s">
        <v>104</v>
      </c>
      <c r="I20" s="31" t="s">
        <v>105</v>
      </c>
      <c r="J20" s="31" t="s">
        <v>106</v>
      </c>
      <c r="K20" s="5"/>
      <c r="L20" s="5"/>
      <c r="M20" s="5"/>
      <c r="N20" s="5"/>
      <c r="O20" s="5"/>
      <c r="P20" s="5"/>
      <c r="Q20" s="5"/>
      <c r="R20" s="10" t="s">
        <v>53</v>
      </c>
      <c r="S20" s="16" t="s">
        <v>54</v>
      </c>
      <c r="T20" s="5"/>
      <c r="U20" s="5"/>
      <c r="V20" s="5"/>
      <c r="W20" s="5"/>
      <c r="X20" s="5"/>
      <c r="Y20" s="5"/>
      <c r="Z20" s="5"/>
    </row>
    <row r="21" ht="12.75" customHeight="1">
      <c r="A21" s="5"/>
      <c r="B21" s="32" t="s">
        <v>107</v>
      </c>
      <c r="C21" s="33" t="s">
        <v>109</v>
      </c>
      <c r="D21" s="34" t="s">
        <v>110</v>
      </c>
      <c r="E21" s="35"/>
      <c r="F21" s="35"/>
      <c r="G21" s="35"/>
      <c r="H21" s="35"/>
      <c r="I21" s="36"/>
      <c r="J21" s="37"/>
      <c r="K21" s="12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1.25" customHeight="1">
      <c r="A22" s="5"/>
      <c r="B22" s="38"/>
      <c r="C22" s="38"/>
      <c r="D22" s="39"/>
      <c r="E22" s="21" t="s">
        <v>111</v>
      </c>
      <c r="F22" s="10"/>
      <c r="G22" s="10">
        <v>20.0</v>
      </c>
      <c r="H22" s="10">
        <v>2.0</v>
      </c>
      <c r="I22" s="10">
        <f t="shared" ref="I22:I23" si="4">G22*H22</f>
        <v>40</v>
      </c>
      <c r="J22" s="10">
        <f t="shared" ref="J22:J23" si="5">I22*G5</f>
        <v>0</v>
      </c>
      <c r="K22" s="5"/>
      <c r="L22" s="40"/>
      <c r="M22" s="12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0" customHeight="1">
      <c r="A23" s="5"/>
      <c r="B23" s="38"/>
      <c r="C23" s="38"/>
      <c r="D23" s="41"/>
      <c r="E23" s="21" t="s">
        <v>114</v>
      </c>
      <c r="F23" s="10"/>
      <c r="G23" s="10">
        <v>25.0</v>
      </c>
      <c r="H23" s="10">
        <v>2.4</v>
      </c>
      <c r="I23" s="10">
        <f t="shared" si="4"/>
        <v>60</v>
      </c>
      <c r="J23" s="10">
        <f t="shared" si="5"/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0" customHeight="1">
      <c r="A24" s="5"/>
      <c r="B24" s="38"/>
      <c r="C24" s="38"/>
      <c r="D24" s="41"/>
      <c r="E24" s="42" t="s">
        <v>117</v>
      </c>
      <c r="F24" s="37"/>
      <c r="G24" s="10"/>
      <c r="H24" s="10"/>
      <c r="I24" s="10">
        <v>37.5</v>
      </c>
      <c r="J24" s="10">
        <f>I24</f>
        <v>37.5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0" customHeight="1">
      <c r="A25" s="5"/>
      <c r="B25" s="38"/>
      <c r="C25" s="38"/>
      <c r="D25" s="44"/>
      <c r="E25" s="42" t="s">
        <v>121</v>
      </c>
      <c r="F25" s="37"/>
      <c r="G25" s="10"/>
      <c r="H25" s="10"/>
      <c r="I25" s="10">
        <v>9.0</v>
      </c>
      <c r="J25" s="10">
        <f>I25*(SUM(G5:G6)/2)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0" customHeight="1">
      <c r="A26" s="5"/>
      <c r="B26" s="38"/>
      <c r="C26" s="38"/>
      <c r="D26" s="34" t="s">
        <v>124</v>
      </c>
      <c r="E26" s="47"/>
      <c r="F26" s="47"/>
      <c r="G26" s="35"/>
      <c r="H26" s="35"/>
      <c r="I26" s="36"/>
      <c r="J26" s="51">
        <f>IF(SUM(G5:G6)&lt;6, 0, IF(SUM(G5:G6)&lt;16, 1, IF(SUM(G5:G6)&lt;26, 2, 3)))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0" customHeight="1">
      <c r="A27" s="5"/>
      <c r="B27" s="38"/>
      <c r="C27" s="38"/>
      <c r="D27" s="48"/>
      <c r="E27" s="54" t="s">
        <v>129</v>
      </c>
      <c r="F27" s="50"/>
      <c r="G27" s="37"/>
      <c r="H27" s="10"/>
      <c r="I27" s="10"/>
      <c r="J27" s="10">
        <f>IF(SUM(G5:G6)&lt;6, 0, IF(SUM(G5:G6)&lt;16, 1, IF(SUM(G5:G6)&lt;26, 2, 3)))*50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2.0" customHeight="1">
      <c r="A28" s="5"/>
      <c r="B28" s="38"/>
      <c r="C28" s="38"/>
      <c r="D28" s="52"/>
      <c r="E28" s="42" t="s">
        <v>134</v>
      </c>
      <c r="F28" s="37"/>
      <c r="G28" s="37">
        <v>25.0</v>
      </c>
      <c r="H28" s="10">
        <v>2.0</v>
      </c>
      <c r="I28" s="10">
        <f t="shared" ref="I28:I30" si="6">G28*H28</f>
        <v>50</v>
      </c>
      <c r="J28" s="10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2.0" customHeight="1">
      <c r="A29" s="5"/>
      <c r="B29" s="38"/>
      <c r="C29" s="38"/>
      <c r="D29" s="41"/>
      <c r="E29" s="60" t="s">
        <v>137</v>
      </c>
      <c r="F29" s="59"/>
      <c r="G29" s="37">
        <v>25.0</v>
      </c>
      <c r="H29" s="10">
        <v>2.0</v>
      </c>
      <c r="I29" s="10">
        <f t="shared" si="6"/>
        <v>50</v>
      </c>
      <c r="J29" s="10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0" customHeight="1">
      <c r="A30" s="5"/>
      <c r="B30" s="38"/>
      <c r="C30" s="56"/>
      <c r="D30" s="44"/>
      <c r="E30" s="42" t="s">
        <v>144</v>
      </c>
      <c r="F30" s="37"/>
      <c r="G30" s="37">
        <v>25.0</v>
      </c>
      <c r="H30" s="10">
        <v>2.0</v>
      </c>
      <c r="I30" s="10">
        <f t="shared" si="6"/>
        <v>50</v>
      </c>
      <c r="J30" s="10"/>
      <c r="K30" s="12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0" customHeight="1">
      <c r="A31" s="5"/>
      <c r="B31" s="38"/>
      <c r="C31" s="33" t="s">
        <v>146</v>
      </c>
      <c r="D31" s="34" t="s">
        <v>149</v>
      </c>
      <c r="E31" s="47"/>
      <c r="F31" s="47"/>
      <c r="G31" s="35"/>
      <c r="H31" s="35"/>
      <c r="I31" s="36"/>
      <c r="J31" s="37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0" customHeight="1">
      <c r="A32" s="5"/>
      <c r="B32" s="38"/>
      <c r="C32" s="38"/>
      <c r="D32" s="39"/>
      <c r="E32" s="42" t="s">
        <v>83</v>
      </c>
      <c r="F32" s="37"/>
      <c r="G32" s="5" t="s">
        <v>151</v>
      </c>
      <c r="H32" s="10">
        <v>1.0</v>
      </c>
      <c r="I32" s="10">
        <v>120.0</v>
      </c>
      <c r="J32" s="10">
        <f t="shared" ref="J32:J34" si="7">I32</f>
        <v>120</v>
      </c>
      <c r="K32" s="62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0" customHeight="1">
      <c r="A33" s="5"/>
      <c r="B33" s="38"/>
      <c r="C33" s="56"/>
      <c r="D33" s="44"/>
      <c r="E33" s="42" t="s">
        <v>156</v>
      </c>
      <c r="F33" s="37"/>
      <c r="G33" s="37"/>
      <c r="H33" s="10" t="s">
        <v>157</v>
      </c>
      <c r="I33" s="10">
        <f>I32*10%</f>
        <v>12</v>
      </c>
      <c r="J33" s="10">
        <f t="shared" si="7"/>
        <v>12</v>
      </c>
      <c r="K33" s="62"/>
      <c r="L33" s="5"/>
      <c r="M33" s="7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9.25" customHeight="1">
      <c r="A34" s="5"/>
      <c r="B34" s="38"/>
      <c r="C34" s="33" t="s">
        <v>161</v>
      </c>
      <c r="D34" s="42" t="s">
        <v>162</v>
      </c>
      <c r="E34" s="65"/>
      <c r="F34" s="66"/>
      <c r="G34" s="10"/>
      <c r="H34" s="10">
        <v>0.4</v>
      </c>
      <c r="I34" s="10">
        <f>H34*SUM(D5:D6)</f>
        <v>0</v>
      </c>
      <c r="J34" s="10">
        <f t="shared" si="7"/>
        <v>0</v>
      </c>
      <c r="K34" s="62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0" customHeight="1">
      <c r="A35" s="5"/>
      <c r="B35" s="38"/>
      <c r="C35" s="38"/>
      <c r="D35" s="42" t="s">
        <v>167</v>
      </c>
      <c r="E35" s="65"/>
      <c r="F35" s="66"/>
      <c r="G35" s="10"/>
      <c r="H35" s="10"/>
      <c r="I35" s="10" t="s">
        <v>168</v>
      </c>
      <c r="J35" s="10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0" customHeight="1">
      <c r="A36" s="5"/>
      <c r="B36" s="38"/>
      <c r="C36" s="38"/>
      <c r="D36" s="42" t="s">
        <v>170</v>
      </c>
      <c r="E36" s="69"/>
      <c r="F36" s="69"/>
      <c r="G36" s="69"/>
      <c r="H36" s="69"/>
      <c r="I36" s="69"/>
      <c r="J36" s="37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0" customHeight="1">
      <c r="A37" s="5"/>
      <c r="B37" s="38"/>
      <c r="C37" s="38"/>
      <c r="D37" s="39"/>
      <c r="E37" s="42" t="s">
        <v>172</v>
      </c>
      <c r="F37" s="71"/>
      <c r="G37" s="10"/>
      <c r="H37" s="10">
        <v>1.5</v>
      </c>
      <c r="I37" s="10">
        <f>H37*SUM(D5:D6)</f>
        <v>0</v>
      </c>
      <c r="J37" s="10">
        <f t="shared" ref="J37:J39" si="8">I37</f>
        <v>0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0" customHeight="1">
      <c r="A38" s="5"/>
      <c r="B38" s="38"/>
      <c r="C38" s="56"/>
      <c r="D38" s="61"/>
      <c r="E38" s="60" t="s">
        <v>174</v>
      </c>
      <c r="F38" s="72"/>
      <c r="G38" s="73"/>
      <c r="H38" s="73">
        <v>1.0</v>
      </c>
      <c r="I38" s="10">
        <f>H38*SUM(D5:D6)</f>
        <v>0</v>
      </c>
      <c r="J38" s="10">
        <f t="shared" si="8"/>
        <v>0</v>
      </c>
      <c r="K38" s="12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0" customHeight="1">
      <c r="A39" s="5"/>
      <c r="B39" s="38"/>
      <c r="C39" s="33" t="s">
        <v>179</v>
      </c>
      <c r="D39" s="68" t="s">
        <v>180</v>
      </c>
      <c r="E39" s="74"/>
      <c r="F39" s="72"/>
      <c r="G39" s="73"/>
      <c r="H39" s="73" t="s">
        <v>181</v>
      </c>
      <c r="I39" s="10">
        <v>13.0</v>
      </c>
      <c r="J39" s="10">
        <f t="shared" si="8"/>
        <v>13</v>
      </c>
      <c r="K39" s="12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8.75" customHeight="1">
      <c r="A40" s="5"/>
      <c r="B40" s="56"/>
      <c r="C40" s="56"/>
      <c r="D40" s="42" t="s">
        <v>183</v>
      </c>
      <c r="E40" s="65"/>
      <c r="F40" s="66"/>
      <c r="G40" s="10"/>
      <c r="H40" s="10"/>
      <c r="I40" s="10" t="s">
        <v>168</v>
      </c>
      <c r="J40" s="10"/>
      <c r="K40" s="24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1.75" customHeight="1">
      <c r="A41" s="5"/>
      <c r="B41" s="32" t="s">
        <v>185</v>
      </c>
      <c r="C41" s="75" t="s">
        <v>186</v>
      </c>
      <c r="D41" s="42" t="s">
        <v>187</v>
      </c>
      <c r="E41" s="69"/>
      <c r="F41" s="37"/>
      <c r="G41" s="10">
        <v>1.0</v>
      </c>
      <c r="H41" s="10">
        <v>5.0</v>
      </c>
      <c r="I41" s="10">
        <f t="shared" ref="I41:I42" si="9">G41*H41</f>
        <v>5</v>
      </c>
      <c r="J41" s="10">
        <f t="shared" ref="J41:J46" si="10">I41</f>
        <v>5</v>
      </c>
      <c r="K41" s="24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5"/>
      <c r="B42" s="38"/>
      <c r="C42" s="38"/>
      <c r="D42" s="42" t="s">
        <v>189</v>
      </c>
      <c r="E42" s="69"/>
      <c r="F42" s="37"/>
      <c r="G42" s="10">
        <f>SUM(E12:E13)</f>
        <v>0</v>
      </c>
      <c r="H42" s="10">
        <v>3.25</v>
      </c>
      <c r="I42" s="10">
        <f t="shared" si="9"/>
        <v>0</v>
      </c>
      <c r="J42" s="10">
        <f t="shared" si="10"/>
        <v>0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1.75" customHeight="1">
      <c r="A43" s="5"/>
      <c r="B43" s="38"/>
      <c r="C43" s="38"/>
      <c r="D43" s="42" t="s">
        <v>97</v>
      </c>
      <c r="E43" s="69"/>
      <c r="F43" s="37"/>
      <c r="G43" s="10">
        <f>E10+E11</f>
        <v>0</v>
      </c>
      <c r="H43" s="10">
        <v>1.5</v>
      </c>
      <c r="I43" s="10">
        <f>MAX(H43 * G43, 12)</f>
        <v>12</v>
      </c>
      <c r="J43" s="10">
        <f t="shared" si="10"/>
        <v>12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customHeight="1">
      <c r="A44" s="5"/>
      <c r="B44" s="38"/>
      <c r="C44" s="56"/>
      <c r="D44" s="42" t="s">
        <v>191</v>
      </c>
      <c r="E44" s="69"/>
      <c r="F44" s="37"/>
      <c r="G44" s="10">
        <f>E10</f>
        <v>0</v>
      </c>
      <c r="H44" s="10">
        <v>1.5</v>
      </c>
      <c r="I44" s="10">
        <f>G44*H44+10</f>
        <v>10</v>
      </c>
      <c r="J44" s="10">
        <f t="shared" si="10"/>
        <v>10</v>
      </c>
      <c r="K44" s="24"/>
      <c r="L44" s="1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38"/>
      <c r="C45" s="32" t="s">
        <v>194</v>
      </c>
      <c r="D45" s="42" t="s">
        <v>150</v>
      </c>
      <c r="E45" s="69"/>
      <c r="F45" s="37"/>
      <c r="G45" s="10"/>
      <c r="H45" s="10"/>
      <c r="I45" s="10">
        <v>9.0</v>
      </c>
      <c r="J45" s="10">
        <f t="shared" si="10"/>
        <v>9</v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0" customHeight="1">
      <c r="A46" s="5"/>
      <c r="B46" s="38"/>
      <c r="C46" s="38"/>
      <c r="D46" s="42" t="s">
        <v>154</v>
      </c>
      <c r="E46" s="69"/>
      <c r="F46" s="37"/>
      <c r="G46" s="10"/>
      <c r="H46" s="10"/>
      <c r="I46" s="10">
        <v>7.5</v>
      </c>
      <c r="J46" s="10">
        <f t="shared" si="10"/>
        <v>7.5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0" customHeight="1">
      <c r="A47" s="5"/>
      <c r="B47" s="38"/>
      <c r="C47" s="38"/>
      <c r="D47" s="34" t="s">
        <v>198</v>
      </c>
      <c r="E47" s="47"/>
      <c r="F47" s="47"/>
      <c r="G47" s="35"/>
      <c r="H47" s="35"/>
      <c r="I47" s="36"/>
      <c r="J47" s="51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0" customHeight="1">
      <c r="A48" s="5"/>
      <c r="B48" s="38"/>
      <c r="C48" s="38"/>
      <c r="D48" s="48"/>
      <c r="E48" s="8" t="s">
        <v>201</v>
      </c>
      <c r="F48" s="50"/>
      <c r="G48" s="77" t="s">
        <v>202</v>
      </c>
      <c r="H48" s="50">
        <v>10.0</v>
      </c>
      <c r="I48" s="10"/>
      <c r="J48" s="39"/>
      <c r="K48" s="12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0" customHeight="1">
      <c r="A49" s="5"/>
      <c r="B49" s="38"/>
      <c r="C49" s="38"/>
      <c r="D49" s="52"/>
      <c r="E49" s="8" t="s">
        <v>205</v>
      </c>
      <c r="F49" s="37"/>
      <c r="G49" s="56"/>
      <c r="H49" s="37">
        <v>11.3</v>
      </c>
      <c r="I49" s="8"/>
      <c r="J49" s="39"/>
      <c r="K49" s="24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0" customHeight="1">
      <c r="A50" s="5"/>
      <c r="B50" s="38"/>
      <c r="C50" s="38"/>
      <c r="D50" s="52"/>
      <c r="E50" s="8" t="s">
        <v>206</v>
      </c>
      <c r="F50" s="59"/>
      <c r="G50" s="59" t="s">
        <v>208</v>
      </c>
      <c r="H50" s="59">
        <v>13.5</v>
      </c>
      <c r="I50" s="39" t="str">
        <f>IF(N7/2&lt;151,"Tipo A",IF(AND(N7/2&gt;150,N7/2&lt;301),"Tipo C",IF(AND(N7/2&gt;300,N7/2&lt;901),"Tipo D",IF(AND(N7/2&gt;900),"Tipo E",0))))</f>
        <v>Tipo A</v>
      </c>
      <c r="J50" s="39">
        <f>VLOOKUP(I50,E48:H52,4,FALSE)</f>
        <v>10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0" customHeight="1">
      <c r="A51" s="5"/>
      <c r="B51" s="38"/>
      <c r="C51" s="38"/>
      <c r="D51" s="52"/>
      <c r="E51" s="8" t="s">
        <v>211</v>
      </c>
      <c r="F51" s="59"/>
      <c r="G51" s="59" t="s">
        <v>212</v>
      </c>
      <c r="H51" s="59">
        <v>24.3</v>
      </c>
      <c r="I51" s="10"/>
      <c r="J51" s="39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0" customHeight="1">
      <c r="A52" s="5"/>
      <c r="B52" s="38"/>
      <c r="C52" s="38"/>
      <c r="D52" s="57"/>
      <c r="E52" s="8" t="s">
        <v>214</v>
      </c>
      <c r="F52" s="59"/>
      <c r="G52" s="59" t="s">
        <v>215</v>
      </c>
      <c r="H52" s="59">
        <v>32.3</v>
      </c>
      <c r="I52" s="10"/>
      <c r="J52" s="10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0" customHeight="1">
      <c r="A53" s="5"/>
      <c r="B53" s="38"/>
      <c r="C53" s="38"/>
      <c r="D53" s="34" t="s">
        <v>216</v>
      </c>
      <c r="E53" s="47"/>
      <c r="F53" s="47"/>
      <c r="G53" s="35"/>
      <c r="H53" s="35"/>
      <c r="I53" s="36"/>
      <c r="J53" s="5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75" customHeight="1">
      <c r="A54" s="5"/>
      <c r="B54" s="38"/>
      <c r="C54" s="38"/>
      <c r="D54" s="48"/>
      <c r="E54" s="8" t="s">
        <v>201</v>
      </c>
      <c r="F54" s="50"/>
      <c r="G54" s="50" t="s">
        <v>142</v>
      </c>
      <c r="H54" s="50">
        <v>4.2</v>
      </c>
      <c r="I54" s="10"/>
      <c r="J54" s="39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75" customHeight="1">
      <c r="A55" s="5"/>
      <c r="B55" s="38"/>
      <c r="C55" s="38"/>
      <c r="D55" s="52"/>
      <c r="E55" s="8" t="s">
        <v>205</v>
      </c>
      <c r="F55" s="37"/>
      <c r="G55" s="37" t="s">
        <v>147</v>
      </c>
      <c r="H55" s="37">
        <v>4.2</v>
      </c>
      <c r="I55" s="8"/>
      <c r="J55" s="39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75" customHeight="1">
      <c r="A56" s="5"/>
      <c r="B56" s="38"/>
      <c r="C56" s="38"/>
      <c r="D56" s="52"/>
      <c r="E56" s="8" t="s">
        <v>206</v>
      </c>
      <c r="F56" s="59"/>
      <c r="G56" s="59" t="s">
        <v>152</v>
      </c>
      <c r="H56" s="59">
        <v>6.0</v>
      </c>
      <c r="I56" s="39" t="str">
        <f>I50</f>
        <v>Tipo A</v>
      </c>
      <c r="J56" s="39">
        <f>VLOOKUP(I56,E54:H58,4,FALSE)</f>
        <v>4.2</v>
      </c>
      <c r="K56" s="12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75" customHeight="1">
      <c r="A57" s="5"/>
      <c r="B57" s="38"/>
      <c r="C57" s="38"/>
      <c r="D57" s="52"/>
      <c r="E57" s="8" t="s">
        <v>211</v>
      </c>
      <c r="F57" s="59"/>
      <c r="G57" s="59" t="s">
        <v>220</v>
      </c>
      <c r="H57" s="59">
        <v>9.0</v>
      </c>
      <c r="I57" s="10"/>
      <c r="J57" s="39"/>
      <c r="K57" s="12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75" customHeight="1">
      <c r="A58" s="5"/>
      <c r="B58" s="38"/>
      <c r="C58" s="38"/>
      <c r="D58" s="57"/>
      <c r="E58" s="8" t="s">
        <v>214</v>
      </c>
      <c r="F58" s="59"/>
      <c r="G58" s="59" t="s">
        <v>224</v>
      </c>
      <c r="H58" s="59">
        <v>10.3</v>
      </c>
      <c r="I58" s="10"/>
      <c r="J58" s="10"/>
      <c r="K58" s="24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0" customHeight="1">
      <c r="A59" s="5"/>
      <c r="B59" s="38"/>
      <c r="C59" s="38"/>
      <c r="D59" s="42" t="s">
        <v>225</v>
      </c>
      <c r="E59" s="69"/>
      <c r="F59" s="37"/>
      <c r="G59" s="10"/>
      <c r="H59" s="10">
        <v>3.0</v>
      </c>
      <c r="I59" s="10"/>
      <c r="J59" s="10">
        <f>H59</f>
        <v>3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0" customHeight="1">
      <c r="A60" s="5"/>
      <c r="B60" s="38"/>
      <c r="C60" s="56"/>
      <c r="D60" s="42" t="s">
        <v>226</v>
      </c>
      <c r="E60" s="69"/>
      <c r="F60" s="37"/>
      <c r="G60" s="10"/>
      <c r="H60" s="10" t="s">
        <v>168</v>
      </c>
      <c r="I60" s="10">
        <f>((N7/3)*1.5)</f>
        <v>0</v>
      </c>
      <c r="J60" s="10">
        <f t="shared" ref="J60:J62" si="11">I60</f>
        <v>0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0" customHeight="1">
      <c r="A61" s="5"/>
      <c r="B61" s="38"/>
      <c r="C61" s="32" t="s">
        <v>227</v>
      </c>
      <c r="D61" s="42" t="s">
        <v>228</v>
      </c>
      <c r="E61" s="69"/>
      <c r="F61" s="37"/>
      <c r="G61" s="10"/>
      <c r="H61" s="10" t="s">
        <v>229</v>
      </c>
      <c r="I61" s="10">
        <f>1.5*SUM(G5:G6)</f>
        <v>0</v>
      </c>
      <c r="J61" s="10">
        <f t="shared" si="11"/>
        <v>0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0" customHeight="1">
      <c r="A62" s="5"/>
      <c r="B62" s="38"/>
      <c r="C62" s="38"/>
      <c r="D62" s="42" t="s">
        <v>230</v>
      </c>
      <c r="E62" s="69"/>
      <c r="F62" s="37"/>
      <c r="G62" s="10"/>
      <c r="H62" s="10" t="s">
        <v>231</v>
      </c>
      <c r="I62" s="10">
        <v>3.0</v>
      </c>
      <c r="J62" s="10">
        <f t="shared" si="11"/>
        <v>3</v>
      </c>
      <c r="K62" s="24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0" customHeight="1">
      <c r="A63" s="5"/>
      <c r="B63" s="38"/>
      <c r="C63" s="38"/>
      <c r="D63" s="42" t="s">
        <v>232</v>
      </c>
      <c r="E63" s="69"/>
      <c r="F63" s="37"/>
      <c r="G63" s="10"/>
      <c r="H63" s="10" t="s">
        <v>233</v>
      </c>
      <c r="I63" s="10"/>
      <c r="J63" s="10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0" customHeight="1">
      <c r="A64" s="5"/>
      <c r="B64" s="38"/>
      <c r="C64" s="38"/>
      <c r="D64" s="42" t="s">
        <v>234</v>
      </c>
      <c r="E64" s="69"/>
      <c r="F64" s="37"/>
      <c r="G64" s="10"/>
      <c r="H64" s="10" t="s">
        <v>168</v>
      </c>
      <c r="I64" s="10"/>
      <c r="J64" s="10"/>
      <c r="K64" s="24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0" customHeight="1">
      <c r="A65" s="5"/>
      <c r="B65" s="38"/>
      <c r="C65" s="38"/>
      <c r="D65" s="42" t="s">
        <v>235</v>
      </c>
      <c r="E65" s="69"/>
      <c r="F65" s="37"/>
      <c r="G65" s="10"/>
      <c r="H65" s="10" t="s">
        <v>168</v>
      </c>
      <c r="I65" s="10"/>
      <c r="J65" s="10"/>
      <c r="K65" s="24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0" customHeight="1">
      <c r="A66" s="5"/>
      <c r="B66" s="38"/>
      <c r="C66" s="38"/>
      <c r="D66" s="42" t="s">
        <v>236</v>
      </c>
      <c r="E66" s="69"/>
      <c r="F66" s="37"/>
      <c r="G66" s="10"/>
      <c r="H66" s="10" t="s">
        <v>237</v>
      </c>
      <c r="I66" s="10">
        <v>1.5</v>
      </c>
      <c r="J66" s="10">
        <f>I66</f>
        <v>1.5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0" customHeight="1">
      <c r="A67" s="5"/>
      <c r="B67" s="38"/>
      <c r="C67" s="56"/>
      <c r="D67" s="42" t="s">
        <v>238</v>
      </c>
      <c r="E67" s="69"/>
      <c r="F67" s="37"/>
      <c r="G67" s="10"/>
      <c r="H67" s="10" t="s">
        <v>168</v>
      </c>
      <c r="I67" s="10"/>
      <c r="J67" s="10"/>
      <c r="K67" s="24"/>
      <c r="L67" s="1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0" customHeight="1">
      <c r="A68" s="5"/>
      <c r="B68" s="38"/>
      <c r="C68" s="32" t="s">
        <v>239</v>
      </c>
      <c r="D68" s="34" t="s">
        <v>240</v>
      </c>
      <c r="E68" s="47"/>
      <c r="F68" s="47"/>
      <c r="G68" s="35"/>
      <c r="H68" s="35"/>
      <c r="I68" s="36"/>
      <c r="J68" s="51"/>
      <c r="K68" s="5"/>
      <c r="L68" s="1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0" customHeight="1">
      <c r="A69" s="5"/>
      <c r="B69" s="38"/>
      <c r="C69" s="38"/>
      <c r="D69" s="42" t="s">
        <v>241</v>
      </c>
      <c r="E69" s="69"/>
      <c r="F69" s="37"/>
      <c r="G69" s="10"/>
      <c r="H69" s="10"/>
      <c r="I69" s="10"/>
      <c r="J69" s="10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9.0" customHeight="1">
      <c r="A70" s="5"/>
      <c r="B70" s="38"/>
      <c r="C70" s="38"/>
      <c r="D70" s="42" t="s">
        <v>242</v>
      </c>
      <c r="E70" s="69"/>
      <c r="F70" s="37"/>
      <c r="G70" s="10">
        <f>IF(SUM(E9:E15)&lt;=6,1,IF(SUM(E9:E15)&lt;=20,2,IF(SUM(E9:E15)&lt;=60,3,IF(SUM(E9:E15)&lt;=150,4,"Fuera de rango"))))</f>
        <v>1</v>
      </c>
      <c r="H70" s="10" t="str">
        <f t="shared" ref="H70:I70" si="12">VLOOKUP(G70,R5:S8,2,FALSE)</f>
        <v>Mixto 1L, 1u, 1l</v>
      </c>
      <c r="I70" s="12" t="str">
        <f t="shared" si="12"/>
        <v>Mixto 1L, 1u, 1I
D: 1L, 1u,1I</v>
      </c>
      <c r="J70" s="10">
        <f>VLOOKUP(I70,T5:V8,3,FALSE)</f>
        <v>4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0" customHeight="1">
      <c r="A71" s="5"/>
      <c r="B71" s="38"/>
      <c r="C71" s="38"/>
      <c r="D71" s="42" t="s">
        <v>243</v>
      </c>
      <c r="E71" s="69"/>
      <c r="F71" s="37"/>
      <c r="G71" s="10"/>
      <c r="H71" s="10"/>
      <c r="I71" s="10"/>
      <c r="J71" s="10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0" customHeight="1">
      <c r="A72" s="5"/>
      <c r="B72" s="38"/>
      <c r="C72" s="38"/>
      <c r="D72" s="42" t="s">
        <v>244</v>
      </c>
      <c r="E72" s="69"/>
      <c r="F72" s="37"/>
      <c r="G72" s="10"/>
      <c r="H72" s="10"/>
      <c r="I72" s="10"/>
      <c r="J72" s="10"/>
      <c r="K72" s="24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0" customHeight="1">
      <c r="A73" s="5"/>
      <c r="B73" s="38"/>
      <c r="C73" s="38"/>
      <c r="D73" s="34" t="s">
        <v>245</v>
      </c>
      <c r="E73" s="47"/>
      <c r="F73" s="47"/>
      <c r="G73" s="35"/>
      <c r="H73" s="35"/>
      <c r="I73" s="36"/>
      <c r="J73" s="51"/>
      <c r="K73" s="24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0" customHeight="1">
      <c r="A74" s="5"/>
      <c r="B74" s="38"/>
      <c r="C74" s="38"/>
      <c r="D74" s="42" t="s">
        <v>246</v>
      </c>
      <c r="E74" s="69"/>
      <c r="F74" s="37"/>
      <c r="G74" s="10"/>
      <c r="H74" s="10" t="str">
        <f>S5</f>
        <v>Mixto 1L, 1u, 1l</v>
      </c>
      <c r="I74" s="12"/>
      <c r="J74" s="10">
        <f>VLOOKUP(H74,S5:V8,4,FALSE)</f>
        <v>4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0" customHeight="1">
      <c r="A75" s="5"/>
      <c r="B75" s="38"/>
      <c r="C75" s="38"/>
      <c r="D75" s="34" t="s">
        <v>247</v>
      </c>
      <c r="E75" s="47"/>
      <c r="F75" s="47"/>
      <c r="G75" s="35"/>
      <c r="H75" s="35"/>
      <c r="I75" s="36"/>
      <c r="J75" s="5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75" customHeight="1">
      <c r="A76" s="5"/>
      <c r="B76" s="38"/>
      <c r="C76" s="38"/>
      <c r="D76" s="48"/>
      <c r="E76" s="8" t="s">
        <v>69</v>
      </c>
      <c r="F76" s="50"/>
      <c r="G76" s="50"/>
      <c r="H76" s="50" t="str">
        <f>CONCATENATE("H: ", ROUNDUP(SUM(D5:D6)/2/25, 0), "L, ", ROUNDUP(SUM(D5:D6)/2/25, 0), "u, ", ROUNDUP(SUM(D5:D6)/2/25, 0), "I")</f>
        <v>H: 0L, 0u, 0I</v>
      </c>
      <c r="I76" s="10">
        <f>IFERROR(VLOOKUP(H76,S14:T19,2,FALSE),0)</f>
        <v>0</v>
      </c>
      <c r="J76" s="39">
        <f t="shared" ref="J76:J78" si="13">I76</f>
        <v>0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75" customHeight="1">
      <c r="A77" s="5"/>
      <c r="B77" s="38"/>
      <c r="C77" s="38"/>
      <c r="D77" s="52"/>
      <c r="E77" s="8" t="s">
        <v>71</v>
      </c>
      <c r="F77" s="37"/>
      <c r="G77" s="37"/>
      <c r="H77" s="37" t="str">
        <f>CONCATENATE("M: ", ROUNDUP(SUM(D5:D6)/2/25, 0), "L, ", ROUNDUP(SUM(D5:D6)/2/25, 0), "I")</f>
        <v>M: 0L, 0I</v>
      </c>
      <c r="I77" s="8">
        <f>IFERROR(VLOOKUP(H77,U14:V19,2,FALSE),0)</f>
        <v>0</v>
      </c>
      <c r="J77" s="39">
        <f t="shared" si="13"/>
        <v>0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0" customHeight="1">
      <c r="A78" s="5"/>
      <c r="B78" s="56"/>
      <c r="C78" s="56"/>
      <c r="D78" s="44"/>
      <c r="E78" s="8" t="s">
        <v>250</v>
      </c>
      <c r="F78" s="59"/>
      <c r="G78" s="59"/>
      <c r="H78" s="59">
        <f>IF(COUNTIF(D5:D6 ,"&lt;&gt;0")&gt;0,"D: 1L, 1u,1I",0)</f>
        <v>0</v>
      </c>
      <c r="I78" s="10">
        <f>IF(H78="D: 1L, 1u,1I",W14,0)</f>
        <v>0</v>
      </c>
      <c r="J78" s="10">
        <f t="shared" si="13"/>
        <v>0</v>
      </c>
      <c r="K78" s="62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0" customHeight="1">
      <c r="A79" s="5"/>
      <c r="B79" s="5"/>
      <c r="C79" s="5"/>
      <c r="D79" s="1"/>
      <c r="E79" s="1"/>
      <c r="F79" s="5"/>
      <c r="G79" s="5"/>
      <c r="H79" s="85"/>
      <c r="I79" s="5"/>
      <c r="J79" s="5"/>
      <c r="K79" s="86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0" customHeight="1">
      <c r="A80" s="5"/>
      <c r="B80" s="5"/>
      <c r="C80" s="5"/>
      <c r="D80" s="1"/>
      <c r="E80" s="1"/>
      <c r="F80" s="5"/>
      <c r="G80" s="5"/>
      <c r="H80" s="8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0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0" customHeight="1">
      <c r="A82" s="5"/>
      <c r="B82" s="5"/>
      <c r="C82" s="5"/>
      <c r="D82" s="87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2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2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2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2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40"/>
      <c r="L88" s="1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1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0" customHeight="1">
      <c r="A90" s="5"/>
      <c r="B90" s="5"/>
      <c r="C90" s="5"/>
      <c r="D90" s="87"/>
      <c r="E90" s="5"/>
      <c r="F90" s="5"/>
      <c r="G90" s="5"/>
      <c r="H90" s="5"/>
      <c r="I90" s="5"/>
      <c r="J90" s="5"/>
      <c r="K90" s="1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0" customHeight="1">
      <c r="A91" s="5"/>
      <c r="B91" s="5"/>
      <c r="C91" s="5"/>
      <c r="D91" s="5"/>
      <c r="E91" s="5"/>
      <c r="F91" s="5"/>
      <c r="G91" s="12"/>
      <c r="H91" s="12"/>
      <c r="I91" s="12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0" customHeight="1">
      <c r="A93" s="5"/>
      <c r="B93" s="5"/>
      <c r="C93" s="5"/>
      <c r="D93" s="87"/>
      <c r="E93" s="5"/>
      <c r="F93" s="5"/>
      <c r="G93" s="5"/>
      <c r="H93" s="5"/>
      <c r="I93" s="5"/>
      <c r="J93" s="5"/>
      <c r="K93" s="40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0" customHeight="1">
      <c r="A94" s="5"/>
      <c r="B94" s="5"/>
      <c r="C94" s="5"/>
      <c r="D94" s="87"/>
      <c r="E94" s="5"/>
      <c r="F94" s="5"/>
      <c r="G94" s="5"/>
      <c r="H94" s="5"/>
      <c r="I94" s="5"/>
      <c r="J94" s="5"/>
      <c r="K94" s="40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0" customHeight="1">
      <c r="A95" s="5"/>
      <c r="B95" s="5"/>
      <c r="C95" s="5"/>
      <c r="D95" s="87"/>
      <c r="E95" s="5"/>
      <c r="F95" s="5"/>
      <c r="G95" s="5"/>
      <c r="H95" s="5"/>
      <c r="I95" s="5"/>
      <c r="J95" s="5"/>
      <c r="K95" s="40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0" customHeight="1">
      <c r="A96" s="5"/>
      <c r="B96" s="5"/>
      <c r="C96" s="5"/>
      <c r="D96" s="87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40"/>
      <c r="L98" s="1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0" customHeight="1">
      <c r="A100" s="5"/>
      <c r="B100" s="5"/>
      <c r="C100" s="5"/>
      <c r="D100" s="87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0" customHeight="1">
      <c r="A102" s="5"/>
      <c r="B102" s="5"/>
      <c r="C102" s="5"/>
      <c r="D102" s="87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0" customHeight="1">
      <c r="A103" s="5"/>
      <c r="B103" s="5"/>
      <c r="C103" s="5"/>
      <c r="D103" s="87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0" customHeight="1">
      <c r="A104" s="5"/>
      <c r="B104" s="5"/>
      <c r="C104" s="5"/>
      <c r="D104" s="87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0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0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0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0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0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0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0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0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0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0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0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0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0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0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0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0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0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0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2.0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2.0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2.0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2.0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2.0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2.0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2.0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2.0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2.0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2.0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2.0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2.0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2.0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2.0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2.0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2.0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2.0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2.0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2.0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2.0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2.0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2.0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2.0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2.0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2.0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2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C34:C38"/>
    <mergeCell ref="C39:C40"/>
    <mergeCell ref="B41:B78"/>
    <mergeCell ref="C41:C44"/>
    <mergeCell ref="C45:C60"/>
    <mergeCell ref="C61:C67"/>
    <mergeCell ref="C68:C78"/>
    <mergeCell ref="R4:S4"/>
    <mergeCell ref="R12:S12"/>
    <mergeCell ref="B20:C20"/>
    <mergeCell ref="D20:F20"/>
    <mergeCell ref="B21:B40"/>
    <mergeCell ref="C21:C30"/>
    <mergeCell ref="C31:C33"/>
    <mergeCell ref="G48:G49"/>
  </mergeCells>
  <dataValidations>
    <dataValidation type="list" allowBlank="1" showErrorMessage="1" sqref="N5">
      <formula1>"Un turno,Ambos turnos"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9.0"/>
    <col customWidth="1" min="3" max="3" width="10.29"/>
    <col customWidth="1" min="4" max="4" width="21.14"/>
    <col customWidth="1" min="5" max="5" width="12.0"/>
    <col customWidth="1" min="6" max="6" width="16.43"/>
    <col customWidth="1" min="7" max="7" width="9.57"/>
    <col customWidth="1" min="8" max="8" width="14.14"/>
    <col customWidth="1" min="9" max="9" width="12.29"/>
    <col customWidth="1" min="10" max="18" width="11.43"/>
    <col customWidth="1" min="19" max="19" width="23.57"/>
    <col customWidth="1" min="20" max="20" width="15.0"/>
    <col customWidth="1" min="21" max="23" width="11.43"/>
    <col customWidth="1" min="24" max="26" width="10.71"/>
  </cols>
  <sheetData>
    <row r="1" ht="12.0" customHeight="1">
      <c r="A1" s="1"/>
      <c r="B1" s="1"/>
      <c r="C1" s="2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0" customHeight="1">
      <c r="A2" s="1"/>
      <c r="B2" s="1"/>
      <c r="C2" s="1"/>
      <c r="D2" s="1"/>
      <c r="E2" s="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0" customHeight="1">
      <c r="A3" s="1"/>
      <c r="B3" s="1"/>
      <c r="C3" s="1"/>
      <c r="D3" s="5" t="s">
        <v>6</v>
      </c>
      <c r="E3" s="6">
        <v>20.0</v>
      </c>
      <c r="F3" s="1" t="s">
        <v>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8" t="s">
        <v>9</v>
      </c>
      <c r="S4" s="9"/>
      <c r="T4" s="10" t="s">
        <v>10</v>
      </c>
      <c r="U4" s="10" t="s">
        <v>11</v>
      </c>
      <c r="V4" s="10" t="s">
        <v>12</v>
      </c>
      <c r="W4" s="10" t="s">
        <v>13</v>
      </c>
      <c r="X4" s="1"/>
      <c r="Y4" s="1"/>
      <c r="Z4" s="1"/>
    </row>
    <row r="5" ht="12.0" customHeight="1">
      <c r="A5" s="1"/>
      <c r="B5" s="1"/>
      <c r="C5" s="1"/>
      <c r="D5" s="13">
        <v>20.0</v>
      </c>
      <c r="E5" s="12" t="s">
        <v>16</v>
      </c>
      <c r="F5" s="1"/>
      <c r="G5" s="14">
        <f t="shared" ref="G5:G10" si="1">IFERROR(ROUNDUP(D5/$E$3, 0),0)</f>
        <v>1</v>
      </c>
      <c r="H5" s="12" t="s">
        <v>18</v>
      </c>
      <c r="I5" s="1"/>
      <c r="J5" s="1"/>
      <c r="K5" s="1"/>
      <c r="L5" s="1"/>
      <c r="M5" s="1"/>
      <c r="N5" s="14" t="s">
        <v>19</v>
      </c>
      <c r="O5" s="1" t="s">
        <v>20</v>
      </c>
      <c r="P5" s="1"/>
      <c r="Q5" s="1"/>
      <c r="R5" s="10">
        <v>1.0</v>
      </c>
      <c r="S5" s="16" t="s">
        <v>22</v>
      </c>
      <c r="T5" s="17" t="s">
        <v>24</v>
      </c>
      <c r="U5" s="10">
        <f t="shared" ref="U5:U6" si="2">V5+W5</f>
        <v>8</v>
      </c>
      <c r="V5" s="10">
        <v>4.0</v>
      </c>
      <c r="W5" s="10">
        <v>4.0</v>
      </c>
      <c r="X5" s="1"/>
      <c r="Y5" s="1"/>
      <c r="Z5" s="1"/>
    </row>
    <row r="6" ht="27.0" customHeight="1">
      <c r="A6" s="1"/>
      <c r="B6" s="1"/>
      <c r="C6" s="1"/>
      <c r="D6" s="11">
        <v>20.0</v>
      </c>
      <c r="E6" s="12" t="s">
        <v>28</v>
      </c>
      <c r="F6" s="1"/>
      <c r="G6" s="14">
        <f t="shared" si="1"/>
        <v>1</v>
      </c>
      <c r="H6" s="12" t="s">
        <v>30</v>
      </c>
      <c r="I6" s="1"/>
      <c r="J6" s="1"/>
      <c r="K6" s="1"/>
      <c r="L6" s="1"/>
      <c r="M6" s="1"/>
      <c r="N6" s="1"/>
      <c r="O6" s="1"/>
      <c r="P6" s="1"/>
      <c r="Q6" s="1"/>
      <c r="R6" s="10">
        <v>2.0</v>
      </c>
      <c r="S6" s="16" t="s">
        <v>32</v>
      </c>
      <c r="T6" s="17" t="s">
        <v>33</v>
      </c>
      <c r="U6" s="10">
        <f t="shared" si="2"/>
        <v>15.5</v>
      </c>
      <c r="V6" s="10">
        <v>11.5</v>
      </c>
      <c r="W6" s="10">
        <v>4.0</v>
      </c>
      <c r="X6" s="1"/>
      <c r="Y6" s="1"/>
      <c r="Z6" s="1"/>
    </row>
    <row r="7" ht="27.0" customHeight="1">
      <c r="A7" s="1"/>
      <c r="B7" s="1"/>
      <c r="C7" s="1"/>
      <c r="D7" s="11">
        <v>20.0</v>
      </c>
      <c r="E7" s="12" t="s">
        <v>34</v>
      </c>
      <c r="F7" s="1"/>
      <c r="G7" s="14">
        <f t="shared" si="1"/>
        <v>1</v>
      </c>
      <c r="H7" s="12" t="s">
        <v>35</v>
      </c>
      <c r="I7" s="1"/>
      <c r="J7" s="1"/>
      <c r="K7" s="1"/>
      <c r="L7" s="1"/>
      <c r="M7" s="1"/>
      <c r="N7" s="1"/>
      <c r="O7" s="1"/>
      <c r="P7" s="1"/>
      <c r="Q7" s="1"/>
      <c r="R7" s="10"/>
      <c r="S7" s="16"/>
      <c r="T7" s="17"/>
      <c r="U7" s="10"/>
      <c r="V7" s="10"/>
      <c r="W7" s="10"/>
      <c r="X7" s="1"/>
      <c r="Y7" s="1"/>
      <c r="Z7" s="1"/>
    </row>
    <row r="8" ht="27.0" customHeight="1">
      <c r="A8" s="1"/>
      <c r="B8" s="1"/>
      <c r="C8" s="1"/>
      <c r="D8" s="11">
        <v>20.0</v>
      </c>
      <c r="E8" s="12" t="s">
        <v>41</v>
      </c>
      <c r="F8" s="1"/>
      <c r="G8" s="14">
        <f t="shared" si="1"/>
        <v>1</v>
      </c>
      <c r="H8" s="12" t="s">
        <v>42</v>
      </c>
      <c r="I8" s="1"/>
      <c r="J8" s="1"/>
      <c r="K8" s="1"/>
      <c r="L8" s="1"/>
      <c r="M8" s="1"/>
      <c r="N8" s="1"/>
      <c r="O8" s="1"/>
      <c r="P8" s="1"/>
      <c r="Q8" s="1"/>
      <c r="R8" s="10"/>
      <c r="S8" s="16"/>
      <c r="T8" s="17"/>
      <c r="U8" s="10"/>
      <c r="V8" s="10"/>
      <c r="W8" s="10"/>
      <c r="X8" s="1"/>
      <c r="Y8" s="1"/>
      <c r="Z8" s="1"/>
    </row>
    <row r="9" ht="27.0" customHeight="1">
      <c r="A9" s="1"/>
      <c r="B9" s="1"/>
      <c r="C9" s="1"/>
      <c r="D9" s="11">
        <v>20.0</v>
      </c>
      <c r="E9" s="12" t="s">
        <v>44</v>
      </c>
      <c r="F9" s="1"/>
      <c r="G9" s="14">
        <f t="shared" si="1"/>
        <v>1</v>
      </c>
      <c r="H9" s="12" t="s">
        <v>45</v>
      </c>
      <c r="I9" s="1"/>
      <c r="J9" s="1"/>
      <c r="K9" s="1"/>
      <c r="L9" s="1"/>
      <c r="M9" s="1"/>
      <c r="N9" s="1"/>
      <c r="O9" s="1"/>
      <c r="P9" s="1"/>
      <c r="Q9" s="1"/>
      <c r="R9" s="10"/>
      <c r="S9" s="16"/>
      <c r="T9" s="17"/>
      <c r="U9" s="10"/>
      <c r="V9" s="10"/>
      <c r="W9" s="10"/>
      <c r="X9" s="1"/>
      <c r="Y9" s="1"/>
      <c r="Z9" s="1"/>
    </row>
    <row r="10" ht="27.0" customHeight="1">
      <c r="A10" s="1"/>
      <c r="B10" s="1"/>
      <c r="C10" s="1"/>
      <c r="D10" s="11">
        <v>20.0</v>
      </c>
      <c r="E10" s="12" t="s">
        <v>49</v>
      </c>
      <c r="F10" s="1"/>
      <c r="G10" s="14">
        <f t="shared" si="1"/>
        <v>1</v>
      </c>
      <c r="H10" s="12" t="s">
        <v>51</v>
      </c>
      <c r="I10" s="1"/>
      <c r="J10" s="1"/>
      <c r="K10" s="1"/>
      <c r="L10" s="1"/>
      <c r="M10" s="1"/>
      <c r="N10" s="1"/>
      <c r="O10" s="1"/>
      <c r="P10" s="1"/>
      <c r="Q10" s="1"/>
      <c r="R10" s="10"/>
      <c r="S10" s="16"/>
      <c r="T10" s="17"/>
      <c r="U10" s="10"/>
      <c r="V10" s="10"/>
      <c r="W10" s="10"/>
      <c r="X10" s="1"/>
      <c r="Y10" s="1"/>
      <c r="Z10" s="1"/>
    </row>
    <row r="11" ht="20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4">
        <f>SUM(D5:D10)</f>
        <v>120</v>
      </c>
      <c r="O11" s="1" t="s">
        <v>36</v>
      </c>
      <c r="P11" s="1"/>
      <c r="Q11" s="1"/>
      <c r="R11" s="10">
        <v>3.0</v>
      </c>
      <c r="S11" s="16" t="s">
        <v>37</v>
      </c>
      <c r="T11" s="17" t="s">
        <v>38</v>
      </c>
      <c r="U11" s="10">
        <f t="shared" ref="U11:U12" si="3">V11+W11</f>
        <v>17.5</v>
      </c>
      <c r="V11" s="10">
        <v>13.5</v>
      </c>
      <c r="W11" s="10">
        <v>4.0</v>
      </c>
      <c r="X11" s="1"/>
      <c r="Y11" s="1"/>
      <c r="Z11" s="1"/>
    </row>
    <row r="12" ht="18.75" customHeight="1">
      <c r="A12" s="1"/>
      <c r="B12" s="1"/>
      <c r="C12" s="1"/>
      <c r="D12" s="18" t="s">
        <v>43</v>
      </c>
      <c r="E12" s="1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0">
        <v>4.0</v>
      </c>
      <c r="S12" s="16" t="s">
        <v>47</v>
      </c>
      <c r="T12" s="17" t="s">
        <v>48</v>
      </c>
      <c r="U12" s="10">
        <f t="shared" si="3"/>
        <v>21.5</v>
      </c>
      <c r="V12" s="10">
        <v>17.5</v>
      </c>
      <c r="W12" s="10">
        <v>4.0</v>
      </c>
      <c r="X12" s="1"/>
      <c r="Y12" s="1"/>
      <c r="Z12" s="1"/>
    </row>
    <row r="13" ht="12.0" customHeight="1">
      <c r="A13" s="1"/>
      <c r="B13" s="1"/>
      <c r="C13" s="1"/>
      <c r="D13" s="21" t="s">
        <v>50</v>
      </c>
      <c r="E13" s="22">
        <f>IF(SUM(G5:G10)&lt;=9, 0, IF(SUM(G5:G10)&lt;=20, 1, IF(SUM(G5:G10)&lt;=40, 2, IF(SUM(G5:G10)&lt;=60, 3, "Más de 60"))))</f>
        <v>0</v>
      </c>
      <c r="F13" s="1"/>
      <c r="G13" s="1"/>
      <c r="H13" s="1"/>
      <c r="I13" s="1"/>
      <c r="J13" s="1"/>
      <c r="K13" s="1"/>
      <c r="L13" s="1"/>
      <c r="M13" s="1"/>
      <c r="N13" s="25"/>
      <c r="O13" s="25"/>
      <c r="P13" s="25"/>
      <c r="Q13" s="1"/>
      <c r="R13" s="10" t="s">
        <v>53</v>
      </c>
      <c r="S13" s="16" t="s">
        <v>54</v>
      </c>
      <c r="T13" s="1"/>
      <c r="U13" s="1"/>
      <c r="V13" s="1"/>
      <c r="W13" s="1"/>
      <c r="X13" s="1"/>
      <c r="Y13" s="1"/>
      <c r="Z13" s="1"/>
    </row>
    <row r="14" ht="12.0" customHeight="1">
      <c r="A14" s="1"/>
      <c r="B14" s="1"/>
      <c r="C14" s="1"/>
      <c r="D14" s="21" t="s">
        <v>56</v>
      </c>
      <c r="E14" s="22">
        <f>SUM(G5:G10)</f>
        <v>6</v>
      </c>
      <c r="F14" s="1"/>
      <c r="G14" s="1"/>
      <c r="H14" s="1"/>
      <c r="I14" s="1"/>
      <c r="J14" s="1"/>
      <c r="K14" s="1"/>
      <c r="L14" s="1"/>
      <c r="M14" s="1"/>
      <c r="N14" s="27"/>
      <c r="O14" s="27"/>
      <c r="P14" s="2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0" customHeight="1">
      <c r="A15" s="1"/>
      <c r="B15" s="1"/>
      <c r="C15" s="1"/>
      <c r="D15" s="21" t="s">
        <v>75</v>
      </c>
      <c r="E15" s="22">
        <f>ROUNDDOWN(SUM(G5:G10)/10,0)</f>
        <v>0</v>
      </c>
      <c r="F15" s="1"/>
      <c r="G15" s="1"/>
      <c r="H15" s="1"/>
      <c r="I15" s="1"/>
      <c r="J15" s="1"/>
      <c r="K15" s="1"/>
      <c r="L15" s="1"/>
      <c r="M15" s="1"/>
      <c r="N15" s="27"/>
      <c r="O15" s="27"/>
      <c r="P15" s="2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0" customHeight="1">
      <c r="A16" s="1"/>
      <c r="B16" s="1"/>
      <c r="C16" s="1"/>
      <c r="D16" s="21" t="s">
        <v>80</v>
      </c>
      <c r="E16" s="22">
        <f>E3/E3</f>
        <v>1</v>
      </c>
      <c r="F16" s="1"/>
      <c r="G16" s="1"/>
      <c r="H16" s="1"/>
      <c r="I16" s="1"/>
      <c r="J16" s="1"/>
      <c r="K16" s="1"/>
      <c r="L16" s="1"/>
      <c r="M16" s="1"/>
      <c r="N16" s="27"/>
      <c r="O16" s="27"/>
      <c r="P16" s="25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0" customHeight="1">
      <c r="A17" s="1"/>
      <c r="B17" s="1"/>
      <c r="C17" s="1"/>
      <c r="D17" s="21" t="s">
        <v>62</v>
      </c>
      <c r="E17" s="22">
        <f>MIN(ROUNDDOWN(SUM(G5:G10)/20,0),1)</f>
        <v>0</v>
      </c>
      <c r="F17" s="1"/>
      <c r="G17" s="1"/>
      <c r="H17" s="1"/>
      <c r="I17" s="1"/>
      <c r="J17" s="1"/>
      <c r="K17" s="1"/>
      <c r="L17" s="1"/>
      <c r="M17" s="1"/>
      <c r="N17" s="27"/>
      <c r="O17" s="27"/>
      <c r="P17" s="25"/>
      <c r="Q17" s="1"/>
      <c r="R17" s="8" t="s">
        <v>64</v>
      </c>
      <c r="S17" s="9"/>
      <c r="T17" s="26"/>
      <c r="U17" s="5"/>
      <c r="V17" s="5"/>
      <c r="W17" s="5"/>
      <c r="X17" s="1"/>
      <c r="Y17" s="1"/>
      <c r="Z17" s="1"/>
    </row>
    <row r="18" ht="12.0" customHeight="1">
      <c r="A18" s="1"/>
      <c r="B18" s="1"/>
      <c r="C18" s="1"/>
      <c r="D18" s="21" t="s">
        <v>66</v>
      </c>
      <c r="E18" s="22">
        <f>ROUNDDOWN(SUM(G5:G10)/10,0)</f>
        <v>0</v>
      </c>
      <c r="F18" s="1"/>
      <c r="G18" s="1"/>
      <c r="H18" s="1"/>
      <c r="I18" s="1"/>
      <c r="J18" s="1"/>
      <c r="K18" s="1"/>
      <c r="L18" s="1"/>
      <c r="M18" s="1"/>
      <c r="N18" s="27"/>
      <c r="O18" s="27"/>
      <c r="P18" s="25"/>
      <c r="Q18" s="1"/>
      <c r="R18" s="10" t="s">
        <v>68</v>
      </c>
      <c r="S18" s="10" t="s">
        <v>69</v>
      </c>
      <c r="T18" s="10" t="s">
        <v>70</v>
      </c>
      <c r="U18" s="10" t="s">
        <v>71</v>
      </c>
      <c r="V18" s="10" t="s">
        <v>70</v>
      </c>
      <c r="W18" s="10" t="s">
        <v>72</v>
      </c>
      <c r="X18" s="1"/>
      <c r="Y18" s="1"/>
      <c r="Z18" s="1"/>
    </row>
    <row r="19" ht="12.0" customHeight="1">
      <c r="A19" s="1"/>
      <c r="B19" s="1"/>
      <c r="C19" s="1"/>
      <c r="D19" s="28" t="s">
        <v>73</v>
      </c>
      <c r="E19" s="22">
        <f>ROUNDUP(SUM(G5:G10)/8,0)</f>
        <v>1</v>
      </c>
      <c r="F19" s="1"/>
      <c r="G19" s="1"/>
      <c r="H19" s="1"/>
      <c r="I19" s="1"/>
      <c r="J19" s="1"/>
      <c r="K19" s="1"/>
      <c r="L19" s="1"/>
      <c r="M19" s="1"/>
      <c r="N19" s="25"/>
      <c r="O19" s="25"/>
      <c r="P19" s="25"/>
      <c r="Q19" s="1"/>
      <c r="R19" s="10">
        <v>1.0</v>
      </c>
      <c r="S19" s="10" t="s">
        <v>76</v>
      </c>
      <c r="T19" s="10">
        <v>6.5</v>
      </c>
      <c r="U19" s="10" t="s">
        <v>77</v>
      </c>
      <c r="V19" s="10">
        <v>6.5</v>
      </c>
      <c r="W19" s="10">
        <v>4.0</v>
      </c>
      <c r="X19" s="1"/>
      <c r="Y19" s="1"/>
      <c r="Z19" s="1"/>
    </row>
    <row r="20" ht="12.0" customHeight="1">
      <c r="A20" s="1"/>
      <c r="B20" s="1"/>
      <c r="C20" s="1"/>
      <c r="D20" s="21" t="s">
        <v>78</v>
      </c>
      <c r="E20" s="22">
        <f>IF(N5="Un turno", 1, IF(N5="Ambos turnos", 2, ""))</f>
        <v>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0">
        <v>2.0</v>
      </c>
      <c r="S20" s="10" t="s">
        <v>81</v>
      </c>
      <c r="T20" s="10">
        <v>8.5</v>
      </c>
      <c r="U20" s="10" t="s">
        <v>82</v>
      </c>
      <c r="V20" s="10">
        <v>9.0</v>
      </c>
      <c r="W20" s="10">
        <v>4.0</v>
      </c>
      <c r="X20" s="1"/>
      <c r="Y20" s="1"/>
      <c r="Z20" s="1"/>
    </row>
    <row r="21" ht="12.0" customHeight="1">
      <c r="A21" s="1"/>
      <c r="B21" s="1"/>
      <c r="C21" s="1"/>
      <c r="D21" s="21" t="s">
        <v>103</v>
      </c>
      <c r="E21" s="22">
        <f>ROUNDDOWN(SUM(G5:G10)/10,0)</f>
        <v>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0"/>
      <c r="S21" s="10"/>
      <c r="T21" s="10"/>
      <c r="U21" s="10"/>
      <c r="V21" s="10"/>
      <c r="W21" s="10"/>
      <c r="X21" s="1"/>
      <c r="Y21" s="1"/>
      <c r="Z21" s="1"/>
    </row>
    <row r="22" ht="12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0">
        <v>3.0</v>
      </c>
      <c r="S22" s="10" t="s">
        <v>84</v>
      </c>
      <c r="T22" s="10">
        <v>10.5</v>
      </c>
      <c r="U22" s="10" t="s">
        <v>86</v>
      </c>
      <c r="V22" s="10">
        <v>11.5</v>
      </c>
      <c r="W22" s="10">
        <v>4.0</v>
      </c>
      <c r="X22" s="1"/>
      <c r="Y22" s="1"/>
      <c r="Z22" s="1"/>
    </row>
    <row r="23" ht="12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0">
        <v>4.0</v>
      </c>
      <c r="S23" s="10" t="s">
        <v>88</v>
      </c>
      <c r="T23" s="10">
        <v>12.5</v>
      </c>
      <c r="U23" s="10" t="s">
        <v>89</v>
      </c>
      <c r="V23" s="10">
        <v>14.0</v>
      </c>
      <c r="W23" s="10">
        <v>4.0</v>
      </c>
      <c r="X23" s="1"/>
      <c r="Y23" s="1"/>
      <c r="Z23" s="1"/>
    </row>
    <row r="24" ht="12.0" customHeight="1">
      <c r="A24" s="1"/>
      <c r="B24" s="1"/>
      <c r="C24" s="2" t="s">
        <v>113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0">
        <v>5.0</v>
      </c>
      <c r="S24" s="10" t="s">
        <v>93</v>
      </c>
      <c r="T24" s="10">
        <v>14.5</v>
      </c>
      <c r="U24" s="10" t="s">
        <v>94</v>
      </c>
      <c r="V24" s="10">
        <v>16.5</v>
      </c>
      <c r="W24" s="10">
        <v>4.0</v>
      </c>
      <c r="X24" s="1"/>
      <c r="Y24" s="1"/>
      <c r="Z24" s="1"/>
    </row>
    <row r="25" ht="12.0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10">
        <v>6.0</v>
      </c>
      <c r="S25" s="10" t="s">
        <v>96</v>
      </c>
      <c r="T25" s="10">
        <v>16.5</v>
      </c>
      <c r="U25" s="10" t="s">
        <v>98</v>
      </c>
      <c r="V25" s="10">
        <v>19.0</v>
      </c>
      <c r="W25" s="10">
        <v>4.0</v>
      </c>
      <c r="X25" s="5"/>
      <c r="Y25" s="5"/>
      <c r="Z25" s="5"/>
    </row>
    <row r="26" ht="19.5" customHeight="1">
      <c r="A26" s="5"/>
      <c r="B26" s="29" t="s">
        <v>99</v>
      </c>
      <c r="C26" s="9"/>
      <c r="D26" s="29" t="s">
        <v>101</v>
      </c>
      <c r="E26" s="30"/>
      <c r="F26" s="9"/>
      <c r="G26" s="31" t="s">
        <v>102</v>
      </c>
      <c r="H26" s="31" t="s">
        <v>104</v>
      </c>
      <c r="I26" s="31" t="s">
        <v>105</v>
      </c>
      <c r="J26" s="31" t="s">
        <v>106</v>
      </c>
      <c r="K26" s="5"/>
      <c r="L26" s="5"/>
      <c r="M26" s="5"/>
      <c r="N26" s="5"/>
      <c r="O26" s="5"/>
      <c r="P26" s="5"/>
      <c r="Q26" s="5"/>
      <c r="R26" s="10">
        <v>7.0</v>
      </c>
      <c r="S26" s="10" t="s">
        <v>116</v>
      </c>
      <c r="T26" s="10">
        <v>19.5</v>
      </c>
      <c r="U26" s="10" t="s">
        <v>118</v>
      </c>
      <c r="V26" s="10">
        <v>21.0</v>
      </c>
      <c r="W26" s="10">
        <v>4.0</v>
      </c>
      <c r="X26" s="5"/>
      <c r="Y26" s="5"/>
      <c r="Z26" s="5"/>
    </row>
    <row r="27" ht="12.75" customHeight="1">
      <c r="A27" s="5"/>
      <c r="B27" s="43" t="s">
        <v>107</v>
      </c>
      <c r="C27" s="33" t="s">
        <v>109</v>
      </c>
      <c r="D27" s="34" t="s">
        <v>110</v>
      </c>
      <c r="E27" s="35"/>
      <c r="F27" s="35"/>
      <c r="G27" s="35"/>
      <c r="H27" s="35"/>
      <c r="I27" s="36"/>
      <c r="J27" s="37"/>
      <c r="K27" s="12"/>
      <c r="L27" s="5"/>
      <c r="M27" s="5"/>
      <c r="N27" s="5"/>
      <c r="O27" s="5"/>
      <c r="P27" s="5"/>
      <c r="Q27" s="5"/>
      <c r="R27" s="10" t="s">
        <v>53</v>
      </c>
      <c r="S27" s="16" t="s">
        <v>54</v>
      </c>
      <c r="T27" s="5"/>
      <c r="U27" s="5"/>
      <c r="V27" s="5"/>
      <c r="W27" s="5"/>
      <c r="X27" s="5"/>
      <c r="Y27" s="5"/>
      <c r="Z27" s="5"/>
    </row>
    <row r="28" ht="12.75" customHeight="1">
      <c r="A28" s="5"/>
      <c r="B28" s="45"/>
      <c r="C28" s="38"/>
      <c r="D28" s="46" t="s">
        <v>122</v>
      </c>
      <c r="E28" s="35"/>
      <c r="F28" s="35"/>
      <c r="G28" s="39">
        <f>E3</f>
        <v>20</v>
      </c>
      <c r="H28" s="39">
        <v>2.0</v>
      </c>
      <c r="I28" s="39">
        <f>G28*H28</f>
        <v>40</v>
      </c>
      <c r="J28" s="10"/>
      <c r="K28" s="12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1.25" customHeight="1">
      <c r="A29" s="5"/>
      <c r="B29" s="45"/>
      <c r="C29" s="38"/>
      <c r="D29" s="39"/>
      <c r="E29" s="42" t="s">
        <v>125</v>
      </c>
      <c r="F29" s="10">
        <f t="shared" ref="F29:F34" si="4">G5</f>
        <v>1</v>
      </c>
      <c r="G29" s="48"/>
      <c r="H29" s="49"/>
      <c r="I29" s="50"/>
      <c r="J29" s="37">
        <f t="shared" ref="J29:J34" si="5">F29*$I$28</f>
        <v>40</v>
      </c>
      <c r="K29" s="5"/>
      <c r="L29" s="40"/>
      <c r="M29" s="12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0" customHeight="1">
      <c r="A30" s="5"/>
      <c r="B30" s="45"/>
      <c r="C30" s="38"/>
      <c r="D30" s="41"/>
      <c r="E30" s="42" t="s">
        <v>127</v>
      </c>
      <c r="F30" s="10">
        <f t="shared" si="4"/>
        <v>1</v>
      </c>
      <c r="G30" s="52"/>
      <c r="H30" s="5"/>
      <c r="I30" s="53"/>
      <c r="J30" s="37">
        <f t="shared" si="5"/>
        <v>40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0" customHeight="1">
      <c r="A31" s="5"/>
      <c r="B31" s="45"/>
      <c r="C31" s="38"/>
      <c r="D31" s="41"/>
      <c r="E31" s="42" t="s">
        <v>130</v>
      </c>
      <c r="F31" s="10">
        <f t="shared" si="4"/>
        <v>1</v>
      </c>
      <c r="G31" s="52"/>
      <c r="H31" s="5"/>
      <c r="I31" s="53"/>
      <c r="J31" s="37">
        <f t="shared" si="5"/>
        <v>40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0" customHeight="1">
      <c r="A32" s="5"/>
      <c r="B32" s="45"/>
      <c r="C32" s="38"/>
      <c r="D32" s="41"/>
      <c r="E32" s="42" t="s">
        <v>131</v>
      </c>
      <c r="F32" s="10">
        <f t="shared" si="4"/>
        <v>1</v>
      </c>
      <c r="G32" s="52"/>
      <c r="H32" s="5"/>
      <c r="I32" s="53"/>
      <c r="J32" s="37">
        <f t="shared" si="5"/>
        <v>40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0" customHeight="1">
      <c r="A33" s="5"/>
      <c r="B33" s="45"/>
      <c r="C33" s="38"/>
      <c r="D33" s="41"/>
      <c r="E33" s="42" t="s">
        <v>133</v>
      </c>
      <c r="F33" s="10">
        <f t="shared" si="4"/>
        <v>1</v>
      </c>
      <c r="G33" s="52"/>
      <c r="H33" s="5"/>
      <c r="I33" s="53"/>
      <c r="J33" s="37">
        <f t="shared" si="5"/>
        <v>40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2.0" customHeight="1">
      <c r="A34" s="5"/>
      <c r="B34" s="45"/>
      <c r="C34" s="56"/>
      <c r="D34" s="44"/>
      <c r="E34" s="42" t="s">
        <v>135</v>
      </c>
      <c r="F34" s="10">
        <f t="shared" si="4"/>
        <v>1</v>
      </c>
      <c r="G34" s="57"/>
      <c r="H34" s="58"/>
      <c r="I34" s="59"/>
      <c r="J34" s="37">
        <f t="shared" si="5"/>
        <v>40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0" customHeight="1">
      <c r="A35" s="5"/>
      <c r="B35" s="45"/>
      <c r="C35" s="33" t="s">
        <v>138</v>
      </c>
      <c r="D35" s="34" t="s">
        <v>140</v>
      </c>
      <c r="E35" s="47"/>
      <c r="F35" s="47"/>
      <c r="G35" s="35"/>
      <c r="H35" s="35"/>
      <c r="I35" s="36"/>
      <c r="J35" s="51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0" customHeight="1">
      <c r="A36" s="5"/>
      <c r="B36" s="45"/>
      <c r="C36" s="38"/>
      <c r="D36" s="48"/>
      <c r="E36" s="42" t="s">
        <v>142</v>
      </c>
      <c r="F36" s="39" t="s">
        <v>143</v>
      </c>
      <c r="G36" s="50">
        <v>30.0</v>
      </c>
      <c r="H36" s="50">
        <v>2.5</v>
      </c>
      <c r="I36" s="10">
        <f t="shared" ref="I36:I38" si="6">G36*H36+25%*G36*H36</f>
        <v>93.75</v>
      </c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0" customHeight="1">
      <c r="A37" s="5"/>
      <c r="B37" s="45"/>
      <c r="C37" s="38"/>
      <c r="D37" s="52"/>
      <c r="E37" s="42" t="s">
        <v>147</v>
      </c>
      <c r="F37" s="10" t="s">
        <v>148</v>
      </c>
      <c r="G37" s="37">
        <v>45.0</v>
      </c>
      <c r="H37" s="37">
        <v>2.0</v>
      </c>
      <c r="I37" s="10">
        <f t="shared" si="6"/>
        <v>112.5</v>
      </c>
      <c r="J37" s="39">
        <f>VLOOKUP((IF(SUM(G5:G10)&lt;=30, "hasta 30 secc", IF(AND(SUM(G5:G10)&gt;=31, SUM(G5:G10)&lt;=48), "de 31 a 48 secc", IF(SUM(G5:G10)&gt;=49, "Más de 49 secc", "")))),F36:I38,4,FALSE)</f>
        <v>93.75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0" customHeight="1">
      <c r="A38" s="5"/>
      <c r="B38" s="45"/>
      <c r="C38" s="38"/>
      <c r="D38" s="52"/>
      <c r="E38" s="42" t="s">
        <v>152</v>
      </c>
      <c r="F38" s="44" t="s">
        <v>153</v>
      </c>
      <c r="G38" s="59">
        <v>60.0</v>
      </c>
      <c r="H38" s="59">
        <v>2.0</v>
      </c>
      <c r="I38" s="10">
        <f t="shared" si="6"/>
        <v>150</v>
      </c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0" customHeight="1">
      <c r="A39" s="5"/>
      <c r="B39" s="45"/>
      <c r="C39" s="38"/>
      <c r="D39" s="34" t="s">
        <v>155</v>
      </c>
      <c r="E39" s="47"/>
      <c r="F39" s="47"/>
      <c r="G39" s="35"/>
      <c r="H39" s="35"/>
      <c r="I39" s="36"/>
      <c r="J39" s="51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2.0" customHeight="1">
      <c r="A40" s="5"/>
      <c r="B40" s="45"/>
      <c r="C40" s="38"/>
      <c r="D40" s="48"/>
      <c r="E40" s="64" t="s">
        <v>159</v>
      </c>
      <c r="F40" s="39">
        <v>1.0</v>
      </c>
      <c r="G40" s="50">
        <v>30.0</v>
      </c>
      <c r="H40" s="50">
        <v>3.0</v>
      </c>
      <c r="I40" s="10">
        <f t="shared" ref="I40:I43" si="7">G40*H40</f>
        <v>90</v>
      </c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0" customHeight="1">
      <c r="A41" s="5"/>
      <c r="B41" s="45"/>
      <c r="C41" s="38"/>
      <c r="D41" s="52"/>
      <c r="E41" s="64" t="s">
        <v>163</v>
      </c>
      <c r="F41" s="10">
        <v>2.0</v>
      </c>
      <c r="G41" s="37">
        <v>30.0</v>
      </c>
      <c r="H41" s="37">
        <v>3.0</v>
      </c>
      <c r="I41" s="10">
        <f t="shared" si="7"/>
        <v>90</v>
      </c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0" customHeight="1">
      <c r="A42" s="5"/>
      <c r="B42" s="45"/>
      <c r="C42" s="38"/>
      <c r="D42" s="52"/>
      <c r="E42" s="64" t="s">
        <v>166</v>
      </c>
      <c r="F42" s="44">
        <v>3.0</v>
      </c>
      <c r="G42" s="59">
        <v>30.0</v>
      </c>
      <c r="H42" s="59">
        <v>3.0</v>
      </c>
      <c r="I42" s="10">
        <f t="shared" si="7"/>
        <v>90</v>
      </c>
      <c r="J42" s="39">
        <f>VLOOKUP(IF(SUM(G5:G10)&lt;=15,"hasta 15 =",IF(SUM(G5:G10)&lt;=30,"De 16 a 30 =",IF(SUM(G5:G10)&lt;=45,"De 31 a 45 =","De 46 a mas ="))),E40:F43,2,FALSE)*I40</f>
        <v>90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0" customHeight="1">
      <c r="A43" s="5"/>
      <c r="B43" s="45"/>
      <c r="C43" s="38"/>
      <c r="D43" s="52"/>
      <c r="E43" s="70" t="s">
        <v>171</v>
      </c>
      <c r="F43" s="41">
        <v>4.0</v>
      </c>
      <c r="G43" s="53">
        <v>30.0</v>
      </c>
      <c r="H43" s="59">
        <v>3.0</v>
      </c>
      <c r="I43" s="10">
        <f t="shared" si="7"/>
        <v>90</v>
      </c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0" customHeight="1">
      <c r="A44" s="5"/>
      <c r="B44" s="45"/>
      <c r="C44" s="56"/>
      <c r="D44" s="52"/>
      <c r="E44" s="42" t="s">
        <v>173</v>
      </c>
      <c r="F44" s="69"/>
      <c r="G44" s="69"/>
      <c r="H44" s="59"/>
      <c r="I44" s="10">
        <v>25.8</v>
      </c>
      <c r="J44" s="39">
        <f>I44</f>
        <v>25.8</v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0" customHeight="1">
      <c r="A45" s="5"/>
      <c r="B45" s="45"/>
      <c r="C45" s="33" t="s">
        <v>176</v>
      </c>
      <c r="D45" s="34" t="s">
        <v>177</v>
      </c>
      <c r="E45" s="47"/>
      <c r="F45" s="47"/>
      <c r="G45" s="35"/>
      <c r="H45" s="35"/>
      <c r="I45" s="36"/>
      <c r="J45" s="51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0" customHeight="1">
      <c r="A46" s="5"/>
      <c r="B46" s="45"/>
      <c r="C46" s="38"/>
      <c r="D46" s="48"/>
      <c r="E46" s="64" t="s">
        <v>159</v>
      </c>
      <c r="F46" s="39">
        <v>1.0</v>
      </c>
      <c r="G46" s="50">
        <v>30.0</v>
      </c>
      <c r="H46" s="50">
        <v>3.0</v>
      </c>
      <c r="I46" s="10">
        <f t="shared" ref="I46:I49" si="8">G46*H46</f>
        <v>90</v>
      </c>
      <c r="J46" s="39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0" customHeight="1">
      <c r="A47" s="5"/>
      <c r="B47" s="45"/>
      <c r="C47" s="38"/>
      <c r="D47" s="52"/>
      <c r="E47" s="64" t="s">
        <v>163</v>
      </c>
      <c r="F47" s="10">
        <v>2.0</v>
      </c>
      <c r="G47" s="37">
        <v>30.0</v>
      </c>
      <c r="H47" s="37">
        <v>3.0</v>
      </c>
      <c r="I47" s="10">
        <f t="shared" si="8"/>
        <v>90</v>
      </c>
      <c r="J47" s="39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0" customHeight="1">
      <c r="A48" s="5"/>
      <c r="B48" s="45"/>
      <c r="C48" s="38"/>
      <c r="D48" s="52"/>
      <c r="E48" s="64" t="s">
        <v>166</v>
      </c>
      <c r="F48" s="44">
        <v>3.0</v>
      </c>
      <c r="G48" s="59">
        <v>30.0</v>
      </c>
      <c r="H48" s="59">
        <v>3.0</v>
      </c>
      <c r="I48" s="10">
        <f t="shared" si="8"/>
        <v>90</v>
      </c>
      <c r="J48" s="39">
        <f>VLOOKUP(IF(SUM(G5:G10)&lt;=15,"hasta 15 =",IF(SUM(G5:G10)&lt;=30,"De 16 a 30 =",IF(SUM(G5:G10)&lt;=45,"De 31 a 45 =","De 46 a mas ="))),E46:F49,2,FALSE)*I46</f>
        <v>90</v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0" customHeight="1">
      <c r="A49" s="5"/>
      <c r="B49" s="45"/>
      <c r="C49" s="56"/>
      <c r="D49" s="52"/>
      <c r="E49" s="70" t="s">
        <v>171</v>
      </c>
      <c r="F49" s="41">
        <v>4.0</v>
      </c>
      <c r="G49" s="53">
        <v>30.0</v>
      </c>
      <c r="H49" s="59">
        <v>3.0</v>
      </c>
      <c r="I49" s="10">
        <f t="shared" si="8"/>
        <v>90</v>
      </c>
      <c r="J49" s="39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0" customHeight="1">
      <c r="A50" s="5"/>
      <c r="B50" s="45"/>
      <c r="C50" s="33" t="s">
        <v>146</v>
      </c>
      <c r="D50" s="34" t="s">
        <v>149</v>
      </c>
      <c r="E50" s="35"/>
      <c r="F50" s="35"/>
      <c r="G50" s="35"/>
      <c r="H50" s="4"/>
      <c r="I50" s="76"/>
      <c r="J50" s="37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0" customHeight="1">
      <c r="A51" s="5"/>
      <c r="B51" s="45"/>
      <c r="C51" s="38"/>
      <c r="D51" s="39"/>
      <c r="E51" s="42" t="s">
        <v>83</v>
      </c>
      <c r="F51" s="37"/>
      <c r="G51" s="5" t="s">
        <v>151</v>
      </c>
      <c r="H51" s="10">
        <v>1.0</v>
      </c>
      <c r="I51" s="10">
        <f>IF(SUM(G5:G10)&lt;4,90,IF(SUM(G5:G10)&lt;10,150,300))</f>
        <v>150</v>
      </c>
      <c r="J51" s="10">
        <f t="shared" ref="J51:J52" si="9">I51</f>
        <v>150</v>
      </c>
      <c r="K51" s="62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0" customHeight="1">
      <c r="A52" s="5"/>
      <c r="B52" s="45"/>
      <c r="C52" s="56"/>
      <c r="D52" s="44"/>
      <c r="E52" s="42" t="s">
        <v>156</v>
      </c>
      <c r="F52" s="37"/>
      <c r="G52" s="37"/>
      <c r="H52" s="10" t="s">
        <v>193</v>
      </c>
      <c r="I52" s="10">
        <f>I51*15%</f>
        <v>22.5</v>
      </c>
      <c r="J52" s="10">
        <f t="shared" si="9"/>
        <v>22.5</v>
      </c>
      <c r="K52" s="62"/>
      <c r="L52" s="5"/>
      <c r="M52" s="7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0" customHeight="1">
      <c r="A53" s="5"/>
      <c r="B53" s="45"/>
      <c r="C53" s="33" t="s">
        <v>161</v>
      </c>
      <c r="D53" s="42" t="s">
        <v>195</v>
      </c>
      <c r="E53" s="65"/>
      <c r="F53" s="66"/>
      <c r="G53" s="35"/>
      <c r="H53" s="10" t="s">
        <v>196</v>
      </c>
      <c r="I53" s="36"/>
      <c r="J53" s="51"/>
      <c r="K53" s="62"/>
      <c r="L53" s="5"/>
      <c r="M53" s="7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0" customHeight="1">
      <c r="A54" s="5"/>
      <c r="B54" s="45"/>
      <c r="C54" s="38"/>
      <c r="D54" s="42" t="s">
        <v>162</v>
      </c>
      <c r="E54" s="65"/>
      <c r="F54" s="66"/>
      <c r="G54" s="10"/>
      <c r="H54" s="10" t="s">
        <v>168</v>
      </c>
      <c r="I54" s="10"/>
      <c r="J54" s="10">
        <v>50.0</v>
      </c>
      <c r="K54" s="62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0" customHeight="1">
      <c r="A55" s="5"/>
      <c r="B55" s="45"/>
      <c r="C55" s="38"/>
      <c r="D55" s="42" t="s">
        <v>167</v>
      </c>
      <c r="E55" s="65"/>
      <c r="F55" s="66"/>
      <c r="G55" s="10"/>
      <c r="H55" s="10" t="s">
        <v>168</v>
      </c>
      <c r="I55" s="10"/>
      <c r="J55" s="10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0" customHeight="1">
      <c r="A56" s="5"/>
      <c r="B56" s="45"/>
      <c r="C56" s="38"/>
      <c r="D56" s="54" t="s">
        <v>200</v>
      </c>
      <c r="E56" s="69"/>
      <c r="F56" s="69"/>
      <c r="G56" s="69"/>
      <c r="H56" s="69"/>
      <c r="I56" s="69"/>
      <c r="J56" s="37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0" customHeight="1">
      <c r="A57" s="5"/>
      <c r="B57" s="45"/>
      <c r="C57" s="38"/>
      <c r="D57" s="78"/>
      <c r="E57" s="58" t="s">
        <v>142</v>
      </c>
      <c r="F57" s="79">
        <v>0.3</v>
      </c>
      <c r="G57" s="73" t="s">
        <v>204</v>
      </c>
      <c r="H57" s="73"/>
      <c r="I57" s="10"/>
      <c r="J57" s="10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0" customHeight="1">
      <c r="A58" s="5"/>
      <c r="B58" s="45"/>
      <c r="C58" s="38"/>
      <c r="D58" s="80"/>
      <c r="E58" s="58" t="s">
        <v>147</v>
      </c>
      <c r="F58" s="79">
        <v>0.4</v>
      </c>
      <c r="G58" s="73" t="s">
        <v>204</v>
      </c>
      <c r="H58" s="73"/>
      <c r="I58" s="10"/>
      <c r="J58" s="10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0" customHeight="1">
      <c r="A59" s="5"/>
      <c r="B59" s="45"/>
      <c r="C59" s="56"/>
      <c r="D59" s="61"/>
      <c r="E59" s="58" t="s">
        <v>152</v>
      </c>
      <c r="F59" s="79">
        <v>0.6</v>
      </c>
      <c r="G59" s="73" t="s">
        <v>204</v>
      </c>
      <c r="H59" s="73"/>
      <c r="I59" s="10"/>
      <c r="J59" s="10"/>
      <c r="K59" s="12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0" customHeight="1">
      <c r="A60" s="5"/>
      <c r="B60" s="45"/>
      <c r="C60" s="33" t="s">
        <v>179</v>
      </c>
      <c r="D60" s="68" t="s">
        <v>180</v>
      </c>
      <c r="E60" s="74"/>
      <c r="F60" s="72"/>
      <c r="G60" s="73"/>
      <c r="H60" s="73" t="s">
        <v>181</v>
      </c>
      <c r="I60" s="10">
        <v>15.0</v>
      </c>
      <c r="J60" s="10">
        <f>I60</f>
        <v>15</v>
      </c>
      <c r="K60" s="12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.75" customHeight="1">
      <c r="A61" s="5"/>
      <c r="B61" s="81"/>
      <c r="C61" s="56"/>
      <c r="D61" s="42" t="s">
        <v>183</v>
      </c>
      <c r="E61" s="65"/>
      <c r="F61" s="66"/>
      <c r="G61" s="10"/>
      <c r="H61" s="10"/>
      <c r="I61" s="10" t="s">
        <v>168</v>
      </c>
      <c r="J61" s="10"/>
      <c r="K61" s="24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1.75" customHeight="1">
      <c r="A62" s="5"/>
      <c r="B62" s="43" t="s">
        <v>185</v>
      </c>
      <c r="C62" s="75" t="s">
        <v>186</v>
      </c>
      <c r="D62" s="42" t="s">
        <v>187</v>
      </c>
      <c r="E62" s="69"/>
      <c r="F62" s="37"/>
      <c r="G62" s="10">
        <v>1.0</v>
      </c>
      <c r="H62" s="10">
        <v>5.0</v>
      </c>
      <c r="I62" s="10">
        <f t="shared" ref="I62:I63" si="10">G62*H62</f>
        <v>5</v>
      </c>
      <c r="J62" s="10">
        <f t="shared" ref="J62:J64" si="11">I62</f>
        <v>5</v>
      </c>
      <c r="K62" s="24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1.75" customHeight="1">
      <c r="A63" s="5"/>
      <c r="B63" s="45"/>
      <c r="C63" s="38"/>
      <c r="D63" s="42" t="s">
        <v>189</v>
      </c>
      <c r="E63" s="69"/>
      <c r="F63" s="37"/>
      <c r="G63" s="10">
        <f>IF(SUM(E17:E18)=0,1,SUM(E17:E18))</f>
        <v>1</v>
      </c>
      <c r="H63" s="10">
        <v>3.25</v>
      </c>
      <c r="I63" s="10">
        <f t="shared" si="10"/>
        <v>3.25</v>
      </c>
      <c r="J63" s="10">
        <f t="shared" si="11"/>
        <v>3.25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1.75" customHeight="1">
      <c r="A64" s="5"/>
      <c r="B64" s="45"/>
      <c r="C64" s="38"/>
      <c r="D64" s="42" t="s">
        <v>97</v>
      </c>
      <c r="E64" s="69"/>
      <c r="F64" s="37"/>
      <c r="G64" s="10">
        <f>E14</f>
        <v>6</v>
      </c>
      <c r="H64" s="10">
        <v>1.5</v>
      </c>
      <c r="I64" s="10">
        <f>MAX(H64 * G64, 12)</f>
        <v>12</v>
      </c>
      <c r="J64" s="10">
        <f t="shared" si="11"/>
        <v>12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5"/>
      <c r="B65" s="45"/>
      <c r="C65" s="38"/>
      <c r="D65" s="46" t="s">
        <v>191</v>
      </c>
      <c r="E65" s="47"/>
      <c r="F65" s="47"/>
      <c r="G65" s="35"/>
      <c r="H65" s="35"/>
      <c r="I65" s="36"/>
      <c r="J65" s="51" t="str">
        <f>IF(SUM(G5:G10)&lt;=30,"Tipo I:","Tipo II:")</f>
        <v>Tipo I:</v>
      </c>
      <c r="K65" s="24"/>
      <c r="L65" s="1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3.5" customHeight="1">
      <c r="A66" s="5"/>
      <c r="B66" s="45"/>
      <c r="C66" s="38"/>
      <c r="D66" s="82"/>
      <c r="E66" s="69" t="s">
        <v>219</v>
      </c>
      <c r="F66" s="37" t="s">
        <v>143</v>
      </c>
      <c r="G66" s="10">
        <f>IF(J65=E66,SUM(G5:G10),0)</f>
        <v>6</v>
      </c>
      <c r="H66" s="10">
        <v>1.5</v>
      </c>
      <c r="I66" s="10">
        <f t="shared" ref="I66:I67" si="12">G66*H66</f>
        <v>9</v>
      </c>
      <c r="J66" s="10">
        <f t="shared" ref="J66:J69" si="13">I66</f>
        <v>9</v>
      </c>
      <c r="K66" s="5"/>
      <c r="L66" s="1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3.5" customHeight="1">
      <c r="A67" s="5"/>
      <c r="B67" s="45"/>
      <c r="C67" s="56"/>
      <c r="D67" s="83"/>
      <c r="E67" s="69" t="s">
        <v>222</v>
      </c>
      <c r="F67" s="37" t="s">
        <v>223</v>
      </c>
      <c r="G67" s="10">
        <f>IF(J65=E67,SUM(G5:G10),0)</f>
        <v>0</v>
      </c>
      <c r="H67" s="10">
        <v>1.5</v>
      </c>
      <c r="I67" s="10">
        <f t="shared" si="12"/>
        <v>0</v>
      </c>
      <c r="J67" s="10">
        <f t="shared" si="13"/>
        <v>0</v>
      </c>
      <c r="K67" s="5"/>
      <c r="L67" s="1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45"/>
      <c r="C68" s="84" t="s">
        <v>194</v>
      </c>
      <c r="D68" s="60" t="s">
        <v>150</v>
      </c>
      <c r="E68" s="69"/>
      <c r="F68" s="37"/>
      <c r="G68" s="10"/>
      <c r="H68" s="10"/>
      <c r="I68" s="10">
        <v>9.0</v>
      </c>
      <c r="J68" s="10">
        <f t="shared" si="13"/>
        <v>9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0" customHeight="1">
      <c r="A69" s="5"/>
      <c r="B69" s="45"/>
      <c r="C69" s="38"/>
      <c r="D69" s="42" t="s">
        <v>154</v>
      </c>
      <c r="E69" s="69"/>
      <c r="F69" s="37"/>
      <c r="G69" s="10"/>
      <c r="H69" s="10"/>
      <c r="I69" s="10">
        <v>7.5</v>
      </c>
      <c r="J69" s="10">
        <f t="shared" si="13"/>
        <v>7.5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0" customHeight="1">
      <c r="A70" s="5"/>
      <c r="B70" s="45"/>
      <c r="C70" s="38"/>
      <c r="D70" s="34" t="s">
        <v>198</v>
      </c>
      <c r="E70" s="47"/>
      <c r="F70" s="47"/>
      <c r="G70" s="35"/>
      <c r="H70" s="35"/>
      <c r="I70" s="36"/>
      <c r="J70" s="5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0" customHeight="1">
      <c r="A71" s="5"/>
      <c r="B71" s="45"/>
      <c r="C71" s="38"/>
      <c r="D71" s="48"/>
      <c r="E71" s="8" t="s">
        <v>201</v>
      </c>
      <c r="F71" s="50"/>
      <c r="G71" s="77" t="s">
        <v>202</v>
      </c>
      <c r="H71" s="50">
        <v>10.0</v>
      </c>
      <c r="I71" s="10"/>
      <c r="J71" s="39"/>
      <c r="K71" s="12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0" customHeight="1">
      <c r="A72" s="5"/>
      <c r="B72" s="45"/>
      <c r="C72" s="38"/>
      <c r="D72" s="52"/>
      <c r="E72" s="8" t="s">
        <v>205</v>
      </c>
      <c r="F72" s="37"/>
      <c r="G72" s="56"/>
      <c r="H72" s="37">
        <v>11.3</v>
      </c>
      <c r="I72" s="8"/>
      <c r="J72" s="39"/>
      <c r="K72" s="24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0" customHeight="1">
      <c r="A73" s="5"/>
      <c r="B73" s="45"/>
      <c r="C73" s="38"/>
      <c r="D73" s="52"/>
      <c r="E73" s="8" t="s">
        <v>206</v>
      </c>
      <c r="F73" s="59"/>
      <c r="G73" s="59" t="s">
        <v>208</v>
      </c>
      <c r="H73" s="59">
        <v>13.5</v>
      </c>
      <c r="I73" s="39" t="str">
        <f>IF(N11/2&lt;151,"Tipo A",IF(AND(N11/2&gt;150,N11/2&lt;301),"Tipo C",IF(AND(N11/2&gt;300,N11/2&lt;901),"Tipo D",IF(AND(N11/2&gt;900),"Tipo E",0))))</f>
        <v>Tipo A</v>
      </c>
      <c r="J73" s="39">
        <f>VLOOKUP(I73,E71:H75,4,FALSE)</f>
        <v>10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0" customHeight="1">
      <c r="A74" s="5"/>
      <c r="B74" s="45"/>
      <c r="C74" s="38"/>
      <c r="D74" s="52"/>
      <c r="E74" s="8" t="s">
        <v>211</v>
      </c>
      <c r="F74" s="59"/>
      <c r="G74" s="59" t="s">
        <v>212</v>
      </c>
      <c r="H74" s="59">
        <v>24.3</v>
      </c>
      <c r="I74" s="10"/>
      <c r="J74" s="39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0" customHeight="1">
      <c r="A75" s="5"/>
      <c r="B75" s="45"/>
      <c r="C75" s="38"/>
      <c r="D75" s="57"/>
      <c r="E75" s="8" t="s">
        <v>214</v>
      </c>
      <c r="F75" s="59"/>
      <c r="G75" s="59" t="s">
        <v>215</v>
      </c>
      <c r="H75" s="59">
        <v>32.3</v>
      </c>
      <c r="I75" s="10"/>
      <c r="J75" s="10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0" customHeight="1">
      <c r="A76" s="5"/>
      <c r="B76" s="45"/>
      <c r="C76" s="38"/>
      <c r="D76" s="34" t="s">
        <v>216</v>
      </c>
      <c r="E76" s="47"/>
      <c r="F76" s="47"/>
      <c r="G76" s="35"/>
      <c r="H76" s="35"/>
      <c r="I76" s="36"/>
      <c r="J76" s="5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75" customHeight="1">
      <c r="A77" s="5"/>
      <c r="B77" s="45"/>
      <c r="C77" s="38"/>
      <c r="D77" s="48"/>
      <c r="E77" s="8" t="s">
        <v>201</v>
      </c>
      <c r="F77" s="50"/>
      <c r="G77" s="50" t="s">
        <v>142</v>
      </c>
      <c r="H77" s="50">
        <v>4.2</v>
      </c>
      <c r="I77" s="10"/>
      <c r="J77" s="39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75" customHeight="1">
      <c r="A78" s="5"/>
      <c r="B78" s="45"/>
      <c r="C78" s="38"/>
      <c r="D78" s="52"/>
      <c r="E78" s="8" t="s">
        <v>205</v>
      </c>
      <c r="F78" s="37"/>
      <c r="G78" s="37" t="s">
        <v>147</v>
      </c>
      <c r="H78" s="37">
        <v>4.2</v>
      </c>
      <c r="I78" s="8"/>
      <c r="J78" s="39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75" customHeight="1">
      <c r="A79" s="5"/>
      <c r="B79" s="45"/>
      <c r="C79" s="38"/>
      <c r="D79" s="52"/>
      <c r="E79" s="8" t="s">
        <v>206</v>
      </c>
      <c r="F79" s="59"/>
      <c r="G79" s="59" t="s">
        <v>152</v>
      </c>
      <c r="H79" s="59">
        <v>6.0</v>
      </c>
      <c r="I79" s="39" t="str">
        <f>I73</f>
        <v>Tipo A</v>
      </c>
      <c r="J79" s="39">
        <f>VLOOKUP(I79,E77:H81,4,FALSE)</f>
        <v>4.2</v>
      </c>
      <c r="K79" s="12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75" customHeight="1">
      <c r="A80" s="5"/>
      <c r="B80" s="45"/>
      <c r="C80" s="38"/>
      <c r="D80" s="52"/>
      <c r="E80" s="8" t="s">
        <v>211</v>
      </c>
      <c r="F80" s="59"/>
      <c r="G80" s="59" t="s">
        <v>220</v>
      </c>
      <c r="H80" s="59">
        <v>9.0</v>
      </c>
      <c r="I80" s="10"/>
      <c r="J80" s="39"/>
      <c r="K80" s="12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75" customHeight="1">
      <c r="A81" s="5"/>
      <c r="B81" s="45"/>
      <c r="C81" s="38"/>
      <c r="D81" s="57"/>
      <c r="E81" s="8" t="s">
        <v>214</v>
      </c>
      <c r="F81" s="59"/>
      <c r="G81" s="59" t="s">
        <v>224</v>
      </c>
      <c r="H81" s="59">
        <v>10.3</v>
      </c>
      <c r="I81" s="10"/>
      <c r="J81" s="10"/>
      <c r="K81" s="24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0" customHeight="1">
      <c r="A82" s="5"/>
      <c r="B82" s="45"/>
      <c r="C82" s="38"/>
      <c r="D82" s="42" t="s">
        <v>225</v>
      </c>
      <c r="E82" s="69"/>
      <c r="F82" s="37"/>
      <c r="G82" s="10"/>
      <c r="H82" s="10">
        <v>3.0</v>
      </c>
      <c r="I82" s="10"/>
      <c r="J82" s="10">
        <f>H82</f>
        <v>3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0" customHeight="1">
      <c r="A83" s="5"/>
      <c r="B83" s="45"/>
      <c r="C83" s="56"/>
      <c r="D83" s="42" t="s">
        <v>226</v>
      </c>
      <c r="E83" s="69"/>
      <c r="F83" s="37"/>
      <c r="G83" s="10"/>
      <c r="H83" s="10" t="s">
        <v>168</v>
      </c>
      <c r="I83" s="10">
        <f>((N11/3)*1.5)</f>
        <v>60</v>
      </c>
      <c r="J83" s="10">
        <f t="shared" ref="J83:J85" si="14">I83</f>
        <v>60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0" customHeight="1">
      <c r="A84" s="5"/>
      <c r="B84" s="45"/>
      <c r="C84" s="32" t="s">
        <v>227</v>
      </c>
      <c r="D84" s="42" t="s">
        <v>228</v>
      </c>
      <c r="E84" s="69"/>
      <c r="F84" s="37"/>
      <c r="G84" s="10"/>
      <c r="H84" s="10" t="s">
        <v>229</v>
      </c>
      <c r="I84" s="10">
        <f>1.5*SUM(G5:G6)</f>
        <v>3</v>
      </c>
      <c r="J84" s="10">
        <f t="shared" si="14"/>
        <v>3</v>
      </c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0" customHeight="1">
      <c r="A85" s="5"/>
      <c r="B85" s="45"/>
      <c r="C85" s="38"/>
      <c r="D85" s="42" t="s">
        <v>230</v>
      </c>
      <c r="E85" s="69"/>
      <c r="F85" s="37"/>
      <c r="G85" s="10"/>
      <c r="H85" s="10" t="s">
        <v>231</v>
      </c>
      <c r="I85" s="10">
        <v>3.0</v>
      </c>
      <c r="J85" s="10">
        <f t="shared" si="14"/>
        <v>3</v>
      </c>
      <c r="K85" s="24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0" customHeight="1">
      <c r="A86" s="5"/>
      <c r="B86" s="45"/>
      <c r="C86" s="38"/>
      <c r="D86" s="42" t="s">
        <v>232</v>
      </c>
      <c r="E86" s="69"/>
      <c r="F86" s="37"/>
      <c r="G86" s="10"/>
      <c r="H86" s="10" t="s">
        <v>233</v>
      </c>
      <c r="I86" s="10"/>
      <c r="J86" s="1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0" customHeight="1">
      <c r="A87" s="5"/>
      <c r="B87" s="45"/>
      <c r="C87" s="38"/>
      <c r="D87" s="42" t="s">
        <v>234</v>
      </c>
      <c r="E87" s="69"/>
      <c r="F87" s="37"/>
      <c r="G87" s="10"/>
      <c r="H87" s="10" t="s">
        <v>168</v>
      </c>
      <c r="I87" s="10"/>
      <c r="J87" s="10"/>
      <c r="K87" s="24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0" customHeight="1">
      <c r="A88" s="5"/>
      <c r="B88" s="45"/>
      <c r="C88" s="38"/>
      <c r="D88" s="42" t="s">
        <v>235</v>
      </c>
      <c r="E88" s="69"/>
      <c r="F88" s="37"/>
      <c r="G88" s="10"/>
      <c r="H88" s="10" t="s">
        <v>168</v>
      </c>
      <c r="I88" s="10"/>
      <c r="J88" s="10"/>
      <c r="K88" s="24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0" customHeight="1">
      <c r="A89" s="5"/>
      <c r="B89" s="45"/>
      <c r="C89" s="38"/>
      <c r="D89" s="42" t="s">
        <v>236</v>
      </c>
      <c r="E89" s="69"/>
      <c r="F89" s="37"/>
      <c r="G89" s="10"/>
      <c r="H89" s="10" t="s">
        <v>237</v>
      </c>
      <c r="I89" s="10">
        <v>1.5</v>
      </c>
      <c r="J89" s="10">
        <f>I89</f>
        <v>1.5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0" customHeight="1">
      <c r="A90" s="5"/>
      <c r="B90" s="45"/>
      <c r="C90" s="56"/>
      <c r="D90" s="42" t="s">
        <v>238</v>
      </c>
      <c r="E90" s="69"/>
      <c r="F90" s="37"/>
      <c r="G90" s="10"/>
      <c r="H90" s="10" t="s">
        <v>168</v>
      </c>
      <c r="I90" s="10"/>
      <c r="J90" s="10"/>
      <c r="K90" s="24"/>
      <c r="L90" s="1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0" customHeight="1">
      <c r="A91" s="5"/>
      <c r="B91" s="45"/>
      <c r="C91" s="32" t="s">
        <v>239</v>
      </c>
      <c r="D91" s="34" t="s">
        <v>240</v>
      </c>
      <c r="E91" s="47"/>
      <c r="F91" s="47"/>
      <c r="G91" s="35"/>
      <c r="H91" s="35"/>
      <c r="I91" s="36"/>
      <c r="J91" s="51"/>
      <c r="K91" s="5"/>
      <c r="L91" s="1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0" customHeight="1">
      <c r="A92" s="5"/>
      <c r="B92" s="45"/>
      <c r="C92" s="38"/>
      <c r="D92" s="42" t="s">
        <v>241</v>
      </c>
      <c r="E92" s="69"/>
      <c r="F92" s="37"/>
      <c r="G92" s="10"/>
      <c r="H92" s="10"/>
      <c r="I92" s="10"/>
      <c r="J92" s="10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39.0" customHeight="1">
      <c r="A93" s="5"/>
      <c r="B93" s="45"/>
      <c r="C93" s="38"/>
      <c r="D93" s="42" t="s">
        <v>242</v>
      </c>
      <c r="E93" s="69"/>
      <c r="F93" s="37"/>
      <c r="G93" s="10">
        <f>IF(SUM(E13:E20)&lt;=6,1,IF(SUM(E13:E20)&lt;=20,2,IF(SUM(E13:E20)&lt;=60,3,IF(SUM(E13:E20)&lt;=150,4,"Fuera de rango"))))</f>
        <v>2</v>
      </c>
      <c r="H93" s="10" t="str">
        <f t="shared" ref="H93:I93" si="15">VLOOKUP(G93,R5:S12,2,FALSE)</f>
        <v>H 1L, 1u, 1l / M 1L, 1l</v>
      </c>
      <c r="I93" s="12" t="str">
        <f t="shared" si="15"/>
        <v>H 1L, 1u, 1l /
M 1L, 1l /
D: 1L, 1u, 1I</v>
      </c>
      <c r="J93" s="10">
        <f>VLOOKUP(I93,T5:V12,3,FALSE)</f>
        <v>11.5</v>
      </c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0" customHeight="1">
      <c r="A94" s="5"/>
      <c r="B94" s="45"/>
      <c r="C94" s="38"/>
      <c r="D94" s="42" t="s">
        <v>243</v>
      </c>
      <c r="E94" s="69"/>
      <c r="F94" s="37"/>
      <c r="G94" s="10"/>
      <c r="H94" s="10"/>
      <c r="I94" s="10"/>
      <c r="J94" s="10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0" customHeight="1">
      <c r="A95" s="5"/>
      <c r="B95" s="45"/>
      <c r="C95" s="38"/>
      <c r="D95" s="42" t="s">
        <v>244</v>
      </c>
      <c r="E95" s="69"/>
      <c r="F95" s="37"/>
      <c r="G95" s="10"/>
      <c r="H95" s="10"/>
      <c r="I95" s="10"/>
      <c r="J95" s="10"/>
      <c r="K95" s="24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0" customHeight="1">
      <c r="A96" s="5"/>
      <c r="B96" s="45"/>
      <c r="C96" s="38"/>
      <c r="D96" s="34" t="s">
        <v>245</v>
      </c>
      <c r="E96" s="47"/>
      <c r="F96" s="47"/>
      <c r="G96" s="35"/>
      <c r="H96" s="35"/>
      <c r="I96" s="36"/>
      <c r="J96" s="51"/>
      <c r="K96" s="24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0" customHeight="1">
      <c r="A97" s="5"/>
      <c r="B97" s="45"/>
      <c r="C97" s="38"/>
      <c r="D97" s="42" t="s">
        <v>246</v>
      </c>
      <c r="E97" s="69"/>
      <c r="F97" s="37"/>
      <c r="G97" s="10"/>
      <c r="H97" s="10" t="str">
        <f>S5</f>
        <v>Mixto 1L, 1u, 1l</v>
      </c>
      <c r="I97" s="12"/>
      <c r="J97" s="10">
        <f>VLOOKUP(H97,S5:V12,4,FALSE)</f>
        <v>4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0" customHeight="1">
      <c r="A98" s="5"/>
      <c r="B98" s="45"/>
      <c r="C98" s="38"/>
      <c r="D98" s="34" t="s">
        <v>247</v>
      </c>
      <c r="E98" s="47"/>
      <c r="F98" s="47"/>
      <c r="G98" s="35"/>
      <c r="H98" s="35"/>
      <c r="I98" s="36"/>
      <c r="J98" s="5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75" customHeight="1">
      <c r="A99" s="5"/>
      <c r="B99" s="45"/>
      <c r="C99" s="38"/>
      <c r="D99" s="48"/>
      <c r="E99" s="8" t="s">
        <v>69</v>
      </c>
      <c r="F99" s="50"/>
      <c r="G99" s="50"/>
      <c r="H99" s="50" t="str">
        <f>CONCATENATE("H: ", ROUNDUP(SUM(D5:D10)/2/30, 0), "L, ", ROUNDUP(SUM(D5:D10)/2/30, 0), "u, ", ROUNDUP(SUM(D5:D10)/2/30, 0), "I")</f>
        <v>H: 2L, 2u, 2I</v>
      </c>
      <c r="I99" s="10">
        <f>IFERROR(VLOOKUP(H99,S19:T26,2,FALSE),0)</f>
        <v>8.5</v>
      </c>
      <c r="J99" s="39">
        <f t="shared" ref="J99:J101" si="16">I99</f>
        <v>8.5</v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75" customHeight="1">
      <c r="A100" s="5"/>
      <c r="B100" s="45"/>
      <c r="C100" s="38"/>
      <c r="D100" s="52"/>
      <c r="E100" s="8" t="s">
        <v>71</v>
      </c>
      <c r="F100" s="37"/>
      <c r="G100" s="37"/>
      <c r="H100" s="37" t="str">
        <f>CONCATENATE("M: ", ROUNDUP(SUM(D5:D10)/2/30, 0), "L, ", ROUNDUP(SUM(D5:D10)/2/30, 0), "I")</f>
        <v>M: 2L, 2I</v>
      </c>
      <c r="I100" s="8">
        <f>IFERROR(VLOOKUP(H100,U19:V26,2,FALSE),0)</f>
        <v>9</v>
      </c>
      <c r="J100" s="39">
        <f t="shared" si="16"/>
        <v>9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0" customHeight="1">
      <c r="A101" s="5"/>
      <c r="B101" s="81"/>
      <c r="C101" s="56"/>
      <c r="D101" s="44"/>
      <c r="E101" s="8" t="s">
        <v>250</v>
      </c>
      <c r="F101" s="59"/>
      <c r="G101" s="59"/>
      <c r="H101" s="59" t="str">
        <f>IF(COUNTIF(D5:D10 ,"&lt;&gt;0")&gt;0,"D: 1L, 1u,1I",0)</f>
        <v>D: 1L, 1u,1I</v>
      </c>
      <c r="I101" s="10">
        <f>IF(H101="D: 1L, 1u,1I",W19,0)</f>
        <v>4</v>
      </c>
      <c r="J101" s="10">
        <f t="shared" si="16"/>
        <v>4</v>
      </c>
      <c r="K101" s="62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0" customHeight="1">
      <c r="A102" s="5"/>
      <c r="B102" s="5"/>
      <c r="C102" s="5"/>
      <c r="D102" s="1"/>
      <c r="E102" s="1"/>
      <c r="F102" s="5"/>
      <c r="G102" s="5"/>
      <c r="H102" s="85"/>
      <c r="I102" s="5"/>
      <c r="J102" s="5"/>
      <c r="K102" s="86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0" customHeight="1">
      <c r="A103" s="5"/>
      <c r="B103" s="5"/>
      <c r="C103" s="5"/>
      <c r="D103" s="1"/>
      <c r="E103" s="1"/>
      <c r="F103" s="5"/>
      <c r="G103" s="5"/>
      <c r="H103" s="8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0" customHeight="1">
      <c r="A105" s="5"/>
      <c r="B105" s="5"/>
      <c r="C105" s="5"/>
      <c r="D105" s="87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40"/>
      <c r="L111" s="1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1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0" customHeight="1">
      <c r="A113" s="5"/>
      <c r="B113" s="5"/>
      <c r="C113" s="5"/>
      <c r="D113" s="87"/>
      <c r="E113" s="5"/>
      <c r="F113" s="5"/>
      <c r="G113" s="5"/>
      <c r="H113" s="5"/>
      <c r="I113" s="5"/>
      <c r="J113" s="5"/>
      <c r="K113" s="1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0" customHeight="1">
      <c r="A114" s="5"/>
      <c r="B114" s="5"/>
      <c r="C114" s="5"/>
      <c r="D114" s="5"/>
      <c r="E114" s="5"/>
      <c r="F114" s="5"/>
      <c r="G114" s="12"/>
      <c r="H114" s="12"/>
      <c r="I114" s="12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0" customHeight="1">
      <c r="A116" s="5"/>
      <c r="B116" s="5"/>
      <c r="C116" s="5"/>
      <c r="D116" s="87"/>
      <c r="E116" s="5"/>
      <c r="F116" s="5"/>
      <c r="G116" s="5"/>
      <c r="H116" s="5"/>
      <c r="I116" s="5"/>
      <c r="J116" s="5"/>
      <c r="K116" s="40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0" customHeight="1">
      <c r="A117" s="5"/>
      <c r="B117" s="5"/>
      <c r="C117" s="5"/>
      <c r="D117" s="87"/>
      <c r="E117" s="5"/>
      <c r="F117" s="5"/>
      <c r="G117" s="5"/>
      <c r="H117" s="5"/>
      <c r="I117" s="5"/>
      <c r="J117" s="5"/>
      <c r="K117" s="40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0" customHeight="1">
      <c r="A118" s="5"/>
      <c r="B118" s="5"/>
      <c r="C118" s="5"/>
      <c r="D118" s="87"/>
      <c r="E118" s="5"/>
      <c r="F118" s="5"/>
      <c r="G118" s="5"/>
      <c r="H118" s="5"/>
      <c r="I118" s="5"/>
      <c r="J118" s="5"/>
      <c r="K118" s="88"/>
      <c r="L118" s="2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0" customHeight="1">
      <c r="A119" s="5"/>
      <c r="B119" s="5"/>
      <c r="C119" s="5"/>
      <c r="D119" s="87"/>
      <c r="E119" s="5"/>
      <c r="F119" s="5"/>
      <c r="G119" s="5"/>
      <c r="H119" s="5"/>
      <c r="I119" s="5"/>
      <c r="J119" s="5"/>
      <c r="K119" s="27"/>
      <c r="L119" s="2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27"/>
      <c r="L120" s="2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88"/>
      <c r="L121" s="89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27"/>
      <c r="L122" s="2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0" customHeight="1">
      <c r="A123" s="5"/>
      <c r="B123" s="5"/>
      <c r="C123" s="5"/>
      <c r="D123" s="87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0" customHeight="1">
      <c r="A125" s="5"/>
      <c r="B125" s="5"/>
      <c r="C125" s="5"/>
      <c r="D125" s="87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0" customHeight="1">
      <c r="A126" s="5"/>
      <c r="B126" s="5"/>
      <c r="C126" s="5"/>
      <c r="D126" s="87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0" customHeight="1">
      <c r="A127" s="5"/>
      <c r="B127" s="5"/>
      <c r="C127" s="5"/>
      <c r="D127" s="87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0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0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0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0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0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0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0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0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0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0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0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0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0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0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0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0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0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0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2.0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2.0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2.0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2.0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2.0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2.0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2.0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2.0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2.0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2.0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2.0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2.0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2.0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2.0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2.0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2.0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2.0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2.0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2.0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2.0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2.0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2.0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2.0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2.0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2.0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2.0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2.0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2.0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2.0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2.0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2.0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2.0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2.0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2.0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2.0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2.0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2.0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2.0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2.0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2.0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2.0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2.0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2.0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2.0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2.0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2.0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2.0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2.0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2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C45:C49"/>
    <mergeCell ref="C50:C52"/>
    <mergeCell ref="G71:G72"/>
    <mergeCell ref="C53:C59"/>
    <mergeCell ref="C60:C61"/>
    <mergeCell ref="B62:B101"/>
    <mergeCell ref="C62:C67"/>
    <mergeCell ref="C68:C83"/>
    <mergeCell ref="C84:C90"/>
    <mergeCell ref="C91:C101"/>
    <mergeCell ref="R4:S4"/>
    <mergeCell ref="R17:S17"/>
    <mergeCell ref="B26:C26"/>
    <mergeCell ref="D26:F26"/>
    <mergeCell ref="B27:B61"/>
    <mergeCell ref="C27:C34"/>
    <mergeCell ref="C35:C44"/>
  </mergeCells>
  <dataValidations>
    <dataValidation type="list" allowBlank="1" showErrorMessage="1" sqref="N5">
      <formula1>"Un turno,Ambos turnos"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9.0"/>
    <col customWidth="1" min="3" max="3" width="10.29"/>
    <col customWidth="1" min="4" max="4" width="21.14"/>
    <col customWidth="1" min="5" max="5" width="12.0"/>
    <col customWidth="1" min="6" max="6" width="16.43"/>
    <col customWidth="1" min="7" max="7" width="9.57"/>
    <col customWidth="1" min="8" max="8" width="14.14"/>
    <col customWidth="1" min="9" max="9" width="12.29"/>
    <col customWidth="1" min="10" max="18" width="11.43"/>
    <col customWidth="1" min="19" max="19" width="23.57"/>
    <col customWidth="1" min="20" max="20" width="15.0"/>
    <col customWidth="1" min="21" max="23" width="11.43"/>
    <col customWidth="1" min="24" max="26" width="10.71"/>
  </cols>
  <sheetData>
    <row r="1" ht="12.0" customHeight="1">
      <c r="A1" s="1"/>
      <c r="B1" s="1"/>
      <c r="C1" s="2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0" customHeight="1">
      <c r="A2" s="1"/>
      <c r="B2" s="1"/>
      <c r="C2" s="1"/>
      <c r="D2" s="1"/>
      <c r="E2" s="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0" customHeight="1">
      <c r="A3" s="1"/>
      <c r="B3" s="1"/>
      <c r="C3" s="1"/>
      <c r="D3" s="7" t="s">
        <v>7</v>
      </c>
      <c r="E3" s="6">
        <v>0.0</v>
      </c>
      <c r="F3" s="1" t="s">
        <v>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8" t="s">
        <v>9</v>
      </c>
      <c r="S4" s="9"/>
      <c r="T4" s="10" t="s">
        <v>10</v>
      </c>
      <c r="U4" s="10" t="s">
        <v>11</v>
      </c>
      <c r="V4" s="10" t="s">
        <v>12</v>
      </c>
      <c r="W4" s="10" t="s">
        <v>13</v>
      </c>
      <c r="X4" s="1"/>
      <c r="Y4" s="1"/>
      <c r="Z4" s="1"/>
    </row>
    <row r="5" ht="12.0" customHeight="1">
      <c r="A5" s="1"/>
      <c r="B5" s="1"/>
      <c r="C5" s="1"/>
      <c r="D5" s="6">
        <v>0.0</v>
      </c>
      <c r="E5" s="12" t="s">
        <v>16</v>
      </c>
      <c r="F5" s="1"/>
      <c r="G5" s="14">
        <f t="shared" ref="G5:G9" si="1">IFERROR(ROUNDUP(D5/$E$3, 0),0)</f>
        <v>0</v>
      </c>
      <c r="H5" s="12" t="s">
        <v>18</v>
      </c>
      <c r="I5" s="1"/>
      <c r="J5" s="1"/>
      <c r="K5" s="1"/>
      <c r="L5" s="1"/>
      <c r="M5" s="1"/>
      <c r="N5" s="14" t="s">
        <v>19</v>
      </c>
      <c r="O5" s="1" t="s">
        <v>20</v>
      </c>
      <c r="P5" s="1"/>
      <c r="Q5" s="1"/>
      <c r="R5" s="10">
        <v>1.0</v>
      </c>
      <c r="S5" s="16" t="s">
        <v>22</v>
      </c>
      <c r="T5" s="17" t="s">
        <v>24</v>
      </c>
      <c r="U5" s="10">
        <f t="shared" ref="U5:U6" si="2">V5+W5</f>
        <v>8</v>
      </c>
      <c r="V5" s="10">
        <v>4.0</v>
      </c>
      <c r="W5" s="10">
        <v>4.0</v>
      </c>
      <c r="X5" s="1"/>
      <c r="Y5" s="1"/>
      <c r="Z5" s="1"/>
    </row>
    <row r="6" ht="27.0" customHeight="1">
      <c r="A6" s="1"/>
      <c r="B6" s="1"/>
      <c r="C6" s="1"/>
      <c r="D6" s="6">
        <v>0.0</v>
      </c>
      <c r="E6" s="12" t="s">
        <v>28</v>
      </c>
      <c r="F6" s="1"/>
      <c r="G6" s="14">
        <f t="shared" si="1"/>
        <v>0</v>
      </c>
      <c r="H6" s="12" t="s">
        <v>30</v>
      </c>
      <c r="I6" s="1"/>
      <c r="J6" s="1"/>
      <c r="K6" s="1"/>
      <c r="L6" s="1"/>
      <c r="M6" s="1"/>
      <c r="N6" s="1"/>
      <c r="O6" s="1"/>
      <c r="P6" s="1"/>
      <c r="Q6" s="1"/>
      <c r="R6" s="10">
        <v>2.0</v>
      </c>
      <c r="S6" s="16" t="s">
        <v>32</v>
      </c>
      <c r="T6" s="17" t="s">
        <v>33</v>
      </c>
      <c r="U6" s="10">
        <f t="shared" si="2"/>
        <v>15.5</v>
      </c>
      <c r="V6" s="10">
        <v>11.5</v>
      </c>
      <c r="W6" s="10">
        <v>4.0</v>
      </c>
      <c r="X6" s="1"/>
      <c r="Y6" s="1"/>
      <c r="Z6" s="1"/>
    </row>
    <row r="7" ht="27.0" customHeight="1">
      <c r="A7" s="1"/>
      <c r="B7" s="1"/>
      <c r="C7" s="1"/>
      <c r="D7" s="6">
        <v>0.0</v>
      </c>
      <c r="E7" s="12" t="s">
        <v>34</v>
      </c>
      <c r="F7" s="1"/>
      <c r="G7" s="14">
        <f t="shared" si="1"/>
        <v>0</v>
      </c>
      <c r="H7" s="12" t="s">
        <v>35</v>
      </c>
      <c r="I7" s="1"/>
      <c r="J7" s="1"/>
      <c r="K7" s="1"/>
      <c r="L7" s="1"/>
      <c r="M7" s="1"/>
      <c r="N7" s="1"/>
      <c r="O7" s="1"/>
      <c r="P7" s="1"/>
      <c r="Q7" s="1"/>
      <c r="R7" s="10"/>
      <c r="S7" s="16"/>
      <c r="T7" s="17"/>
      <c r="U7" s="10"/>
      <c r="V7" s="10"/>
      <c r="W7" s="10"/>
      <c r="X7" s="1"/>
      <c r="Y7" s="1"/>
      <c r="Z7" s="1"/>
    </row>
    <row r="8" ht="27.0" customHeight="1">
      <c r="A8" s="1"/>
      <c r="B8" s="1"/>
      <c r="C8" s="1"/>
      <c r="D8" s="6">
        <v>0.0</v>
      </c>
      <c r="E8" s="12" t="s">
        <v>41</v>
      </c>
      <c r="F8" s="1"/>
      <c r="G8" s="14">
        <f t="shared" si="1"/>
        <v>0</v>
      </c>
      <c r="H8" s="12" t="s">
        <v>42</v>
      </c>
      <c r="I8" s="1"/>
      <c r="J8" s="1"/>
      <c r="K8" s="1"/>
      <c r="L8" s="1"/>
      <c r="M8" s="1"/>
      <c r="N8" s="1"/>
      <c r="O8" s="1"/>
      <c r="P8" s="1"/>
      <c r="Q8" s="1"/>
      <c r="R8" s="10"/>
      <c r="S8" s="16"/>
      <c r="T8" s="17"/>
      <c r="U8" s="10"/>
      <c r="V8" s="10"/>
      <c r="W8" s="10"/>
      <c r="X8" s="1"/>
      <c r="Y8" s="1"/>
      <c r="Z8" s="1"/>
    </row>
    <row r="9" ht="27.0" customHeight="1">
      <c r="A9" s="1"/>
      <c r="B9" s="1"/>
      <c r="C9" s="1"/>
      <c r="D9" s="6">
        <v>0.0</v>
      </c>
      <c r="E9" s="12" t="s">
        <v>44</v>
      </c>
      <c r="F9" s="1"/>
      <c r="G9" s="14">
        <f t="shared" si="1"/>
        <v>0</v>
      </c>
      <c r="H9" s="12" t="s">
        <v>45</v>
      </c>
      <c r="I9" s="1"/>
      <c r="J9" s="1"/>
      <c r="K9" s="1"/>
      <c r="L9" s="1"/>
      <c r="M9" s="1"/>
      <c r="N9" s="1"/>
      <c r="O9" s="1"/>
      <c r="P9" s="1"/>
      <c r="Q9" s="1"/>
      <c r="R9" s="10"/>
      <c r="S9" s="16"/>
      <c r="T9" s="17"/>
      <c r="U9" s="10"/>
      <c r="V9" s="10"/>
      <c r="W9" s="10"/>
      <c r="X9" s="1"/>
      <c r="Y9" s="1"/>
      <c r="Z9" s="1"/>
    </row>
    <row r="10" ht="20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4">
        <f>SUM(D5:D9)</f>
        <v>0</v>
      </c>
      <c r="O10" s="1" t="s">
        <v>36</v>
      </c>
      <c r="P10" s="1"/>
      <c r="Q10" s="1"/>
      <c r="R10" s="10">
        <v>3.0</v>
      </c>
      <c r="S10" s="16" t="s">
        <v>37</v>
      </c>
      <c r="T10" s="17" t="s">
        <v>38</v>
      </c>
      <c r="U10" s="10">
        <f t="shared" ref="U10:U11" si="3">V10+W10</f>
        <v>17.5</v>
      </c>
      <c r="V10" s="10">
        <v>13.5</v>
      </c>
      <c r="W10" s="10">
        <v>4.0</v>
      </c>
      <c r="X10" s="1"/>
      <c r="Y10" s="1"/>
      <c r="Z10" s="1"/>
    </row>
    <row r="11" ht="18.75" customHeight="1">
      <c r="A11" s="1"/>
      <c r="B11" s="1"/>
      <c r="C11" s="1"/>
      <c r="D11" s="18" t="s">
        <v>43</v>
      </c>
      <c r="E11" s="1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0">
        <v>4.0</v>
      </c>
      <c r="S11" s="16" t="s">
        <v>47</v>
      </c>
      <c r="T11" s="17" t="s">
        <v>48</v>
      </c>
      <c r="U11" s="10">
        <f t="shared" si="3"/>
        <v>21.5</v>
      </c>
      <c r="V11" s="10">
        <v>17.5</v>
      </c>
      <c r="W11" s="10">
        <v>4.0</v>
      </c>
      <c r="X11" s="1"/>
      <c r="Y11" s="1"/>
      <c r="Z11" s="1"/>
    </row>
    <row r="12" ht="12.0" customHeight="1">
      <c r="A12" s="1"/>
      <c r="B12" s="1"/>
      <c r="C12" s="1"/>
      <c r="D12" s="21" t="s">
        <v>50</v>
      </c>
      <c r="E12" s="22">
        <f>IF(SUM(G5:G9)&lt;=9, 0, IF(SUM(G5:G9)&lt;=20, 1, IF(SUM(G5:G9)&lt;=40, 2, IF(SUM(G5:G9)&lt;=60, 3, "Más de 60"))))</f>
        <v>0</v>
      </c>
      <c r="F12" s="1"/>
      <c r="G12" s="1"/>
      <c r="H12" s="1"/>
      <c r="I12" s="1"/>
      <c r="J12" s="1"/>
      <c r="K12" s="1"/>
      <c r="L12" s="1"/>
      <c r="M12" s="1"/>
      <c r="N12" s="25"/>
      <c r="O12" s="25"/>
      <c r="P12" s="25"/>
      <c r="Q12" s="1"/>
      <c r="R12" s="10" t="s">
        <v>53</v>
      </c>
      <c r="S12" s="16" t="s">
        <v>54</v>
      </c>
      <c r="T12" s="1"/>
      <c r="U12" s="1"/>
      <c r="V12" s="1"/>
      <c r="W12" s="1"/>
      <c r="X12" s="1"/>
      <c r="Y12" s="1"/>
      <c r="Z12" s="1"/>
    </row>
    <row r="13" ht="12.0" customHeight="1">
      <c r="A13" s="1"/>
      <c r="B13" s="1"/>
      <c r="C13" s="1"/>
      <c r="D13" s="21" t="s">
        <v>56</v>
      </c>
      <c r="E13" s="22">
        <f>SUM(G5:G9)</f>
        <v>0</v>
      </c>
      <c r="F13" s="1"/>
      <c r="G13" s="1"/>
      <c r="H13" s="1"/>
      <c r="I13" s="1"/>
      <c r="J13" s="1"/>
      <c r="K13" s="1"/>
      <c r="L13" s="1"/>
      <c r="M13" s="1"/>
      <c r="N13" s="27"/>
      <c r="O13" s="27"/>
      <c r="P13" s="25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0" customHeight="1">
      <c r="A14" s="1"/>
      <c r="B14" s="1"/>
      <c r="C14" s="1"/>
      <c r="D14" s="21" t="s">
        <v>75</v>
      </c>
      <c r="E14" s="22">
        <f>ROUNDDOWN(SUM(G5:G9)/10,0)</f>
        <v>0</v>
      </c>
      <c r="F14" s="1"/>
      <c r="G14" s="1"/>
      <c r="H14" s="1"/>
      <c r="I14" s="1"/>
      <c r="J14" s="1"/>
      <c r="K14" s="1"/>
      <c r="L14" s="1"/>
      <c r="M14" s="1"/>
      <c r="N14" s="27"/>
      <c r="O14" s="27"/>
      <c r="P14" s="2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0" customHeight="1">
      <c r="A15" s="1"/>
      <c r="B15" s="1"/>
      <c r="C15" s="1"/>
      <c r="D15" s="21" t="s">
        <v>80</v>
      </c>
      <c r="E15" s="22">
        <f>IFERROR(E3/E3,0)</f>
        <v>0</v>
      </c>
      <c r="F15" s="1"/>
      <c r="G15" s="1"/>
      <c r="H15" s="1"/>
      <c r="I15" s="1"/>
      <c r="J15" s="1"/>
      <c r="K15" s="1"/>
      <c r="L15" s="1"/>
      <c r="M15" s="1"/>
      <c r="N15" s="27"/>
      <c r="O15" s="27"/>
      <c r="P15" s="2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0" customHeight="1">
      <c r="A16" s="1"/>
      <c r="B16" s="1"/>
      <c r="C16" s="1"/>
      <c r="D16" s="21" t="s">
        <v>85</v>
      </c>
      <c r="E16" s="22">
        <f t="shared" ref="E16:E17" si="4">ROUNDDOWN(SUM(G5:G9)/15,0)</f>
        <v>0</v>
      </c>
      <c r="F16" s="1"/>
      <c r="G16" s="1"/>
      <c r="H16" s="1"/>
      <c r="I16" s="1"/>
      <c r="J16" s="1"/>
      <c r="K16" s="1"/>
      <c r="L16" s="1"/>
      <c r="M16" s="1"/>
      <c r="N16" s="27"/>
      <c r="O16" s="27"/>
      <c r="P16" s="25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0" customHeight="1">
      <c r="A17" s="1"/>
      <c r="B17" s="1"/>
      <c r="C17" s="1"/>
      <c r="D17" s="21" t="s">
        <v>90</v>
      </c>
      <c r="E17" s="22">
        <f t="shared" si="4"/>
        <v>0</v>
      </c>
      <c r="F17" s="1"/>
      <c r="G17" s="1"/>
      <c r="H17" s="1"/>
      <c r="I17" s="1"/>
      <c r="J17" s="1"/>
      <c r="K17" s="1"/>
      <c r="L17" s="1"/>
      <c r="M17" s="1"/>
      <c r="N17" s="27"/>
      <c r="O17" s="27"/>
      <c r="P17" s="25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0" customHeight="1">
      <c r="A18" s="1"/>
      <c r="B18" s="1"/>
      <c r="C18" s="1"/>
      <c r="D18" s="21" t="s">
        <v>59</v>
      </c>
      <c r="E18" s="22">
        <f>ROUNDDOWN(SUM(G7:G11)/8,0)</f>
        <v>0</v>
      </c>
      <c r="F18" s="1"/>
      <c r="G18" s="1"/>
      <c r="H18" s="1"/>
      <c r="I18" s="1"/>
      <c r="J18" s="1"/>
      <c r="K18" s="1"/>
      <c r="L18" s="1"/>
      <c r="M18" s="1"/>
      <c r="N18" s="27"/>
      <c r="O18" s="27"/>
      <c r="P18" s="2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0" customHeight="1">
      <c r="A19" s="1"/>
      <c r="B19" s="1"/>
      <c r="C19" s="1"/>
      <c r="D19" s="21" t="s">
        <v>95</v>
      </c>
      <c r="E19" s="22">
        <f>ROUNDDOWN(SUM(G7:G11)/20,0)</f>
        <v>0</v>
      </c>
      <c r="F19" s="1"/>
      <c r="G19" s="1"/>
      <c r="H19" s="1"/>
      <c r="I19" s="1"/>
      <c r="J19" s="1"/>
      <c r="K19" s="1"/>
      <c r="L19" s="1"/>
      <c r="M19" s="1"/>
      <c r="N19" s="27"/>
      <c r="O19" s="27"/>
      <c r="P19" s="2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0" customHeight="1">
      <c r="A20" s="1"/>
      <c r="B20" s="1"/>
      <c r="C20" s="1"/>
      <c r="D20" s="21" t="s">
        <v>100</v>
      </c>
      <c r="E20" s="22">
        <f>IF(SUM(G5:G9)&gt;15,1,0)</f>
        <v>0</v>
      </c>
      <c r="F20" s="1"/>
      <c r="G20" s="1"/>
      <c r="H20" s="1"/>
      <c r="I20" s="1"/>
      <c r="J20" s="1"/>
      <c r="K20" s="1"/>
      <c r="L20" s="1"/>
      <c r="M20" s="1"/>
      <c r="N20" s="27"/>
      <c r="O20" s="27"/>
      <c r="P20" s="2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0" customHeight="1">
      <c r="A21" s="1"/>
      <c r="B21" s="1"/>
      <c r="C21" s="1"/>
      <c r="D21" s="21" t="s">
        <v>62</v>
      </c>
      <c r="E21" s="22">
        <f>MIN(ROUNDDOWN(SUM(G5:G9)/20,0),1)</f>
        <v>0</v>
      </c>
      <c r="F21" s="1"/>
      <c r="G21" s="1"/>
      <c r="H21" s="1"/>
      <c r="I21" s="1"/>
      <c r="J21" s="1"/>
      <c r="K21" s="1"/>
      <c r="L21" s="1"/>
      <c r="M21" s="1"/>
      <c r="N21" s="27"/>
      <c r="O21" s="27"/>
      <c r="P21" s="25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0" customHeight="1">
      <c r="A22" s="1"/>
      <c r="B22" s="1"/>
      <c r="C22" s="1"/>
      <c r="D22" s="21" t="s">
        <v>66</v>
      </c>
      <c r="E22" s="22">
        <f>ROUNDDOWN(SUM(G5:G9)/10,0)</f>
        <v>0</v>
      </c>
      <c r="F22" s="1"/>
      <c r="G22" s="1"/>
      <c r="H22" s="1"/>
      <c r="I22" s="1"/>
      <c r="J22" s="1"/>
      <c r="K22" s="1"/>
      <c r="L22" s="1"/>
      <c r="M22" s="1"/>
      <c r="N22" s="27"/>
      <c r="O22" s="27"/>
      <c r="P22" s="25"/>
      <c r="Q22" s="1"/>
      <c r="R22" s="8" t="s">
        <v>64</v>
      </c>
      <c r="S22" s="9"/>
      <c r="T22" s="26"/>
      <c r="U22" s="5"/>
      <c r="V22" s="5"/>
      <c r="W22" s="5"/>
      <c r="X22" s="1"/>
      <c r="Y22" s="1"/>
      <c r="Z22" s="1"/>
    </row>
    <row r="23" ht="12.0" customHeight="1">
      <c r="A23" s="1"/>
      <c r="B23" s="1"/>
      <c r="C23" s="1"/>
      <c r="D23" s="28" t="s">
        <v>73</v>
      </c>
      <c r="E23" s="22">
        <f>ROUNDUP(SUM(G5:G9)/8,0)</f>
        <v>0</v>
      </c>
      <c r="F23" s="1"/>
      <c r="G23" s="1"/>
      <c r="H23" s="1"/>
      <c r="I23" s="1"/>
      <c r="J23" s="1"/>
      <c r="K23" s="1"/>
      <c r="L23" s="1"/>
      <c r="M23" s="1"/>
      <c r="N23" s="27"/>
      <c r="O23" s="27"/>
      <c r="P23" s="25"/>
      <c r="Q23" s="1"/>
      <c r="R23" s="10" t="s">
        <v>68</v>
      </c>
      <c r="S23" s="10" t="s">
        <v>69</v>
      </c>
      <c r="T23" s="10" t="s">
        <v>70</v>
      </c>
      <c r="U23" s="10" t="s">
        <v>71</v>
      </c>
      <c r="V23" s="10" t="s">
        <v>70</v>
      </c>
      <c r="W23" s="10" t="s">
        <v>72</v>
      </c>
      <c r="X23" s="1"/>
      <c r="Y23" s="1"/>
      <c r="Z23" s="1"/>
    </row>
    <row r="24" ht="12.0" customHeight="1">
      <c r="A24" s="1"/>
      <c r="B24" s="1"/>
      <c r="C24" s="1"/>
      <c r="D24" s="21" t="s">
        <v>78</v>
      </c>
      <c r="E24" s="22">
        <f>IF(N5="Un turno", 1, IF(N5="Ambos turnos", 2, ""))</f>
        <v>1</v>
      </c>
      <c r="F24" s="1"/>
      <c r="G24" s="1"/>
      <c r="H24" s="1"/>
      <c r="I24" s="1"/>
      <c r="J24" s="1"/>
      <c r="K24" s="1"/>
      <c r="L24" s="1"/>
      <c r="M24" s="1"/>
      <c r="N24" s="25"/>
      <c r="O24" s="25"/>
      <c r="P24" s="25"/>
      <c r="Q24" s="1"/>
      <c r="R24" s="10">
        <v>1.0</v>
      </c>
      <c r="S24" s="10" t="s">
        <v>76</v>
      </c>
      <c r="T24" s="10">
        <v>6.5</v>
      </c>
      <c r="U24" s="10" t="s">
        <v>77</v>
      </c>
      <c r="V24" s="10">
        <v>6.5</v>
      </c>
      <c r="W24" s="10">
        <v>4.0</v>
      </c>
      <c r="X24" s="1"/>
      <c r="Y24" s="1"/>
      <c r="Z24" s="1"/>
    </row>
    <row r="25" ht="12.0" customHeight="1">
      <c r="A25" s="1"/>
      <c r="B25" s="1"/>
      <c r="C25" s="1"/>
      <c r="D25" s="21" t="s">
        <v>120</v>
      </c>
      <c r="E25" s="22">
        <v>1.0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0">
        <v>2.0</v>
      </c>
      <c r="S25" s="10" t="s">
        <v>81</v>
      </c>
      <c r="T25" s="10">
        <v>8.5</v>
      </c>
      <c r="U25" s="10" t="s">
        <v>82</v>
      </c>
      <c r="V25" s="10">
        <v>9.0</v>
      </c>
      <c r="W25" s="10">
        <v>4.0</v>
      </c>
      <c r="X25" s="1"/>
      <c r="Y25" s="1"/>
      <c r="Z25" s="1"/>
    </row>
    <row r="26" ht="12.0" customHeight="1">
      <c r="A26" s="1"/>
      <c r="B26" s="1"/>
      <c r="C26" s="1"/>
      <c r="D26" s="21" t="s">
        <v>103</v>
      </c>
      <c r="E26" s="22">
        <f>ROUNDDOWN(SUM(G5:G9)/10,0)</f>
        <v>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0"/>
      <c r="S26" s="10"/>
      <c r="T26" s="10"/>
      <c r="U26" s="10"/>
      <c r="V26" s="10"/>
      <c r="W26" s="10"/>
      <c r="X26" s="1"/>
      <c r="Y26" s="1"/>
      <c r="Z26" s="1"/>
    </row>
    <row r="27" ht="12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0">
        <v>3.0</v>
      </c>
      <c r="S27" s="10" t="s">
        <v>84</v>
      </c>
      <c r="T27" s="10">
        <v>10.5</v>
      </c>
      <c r="U27" s="10" t="s">
        <v>86</v>
      </c>
      <c r="V27" s="10">
        <v>11.5</v>
      </c>
      <c r="W27" s="10">
        <v>4.0</v>
      </c>
      <c r="X27" s="1"/>
      <c r="Y27" s="1"/>
      <c r="Z27" s="1"/>
    </row>
    <row r="28" ht="12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0">
        <v>4.0</v>
      </c>
      <c r="S28" s="10" t="s">
        <v>88</v>
      </c>
      <c r="T28" s="10">
        <v>12.5</v>
      </c>
      <c r="U28" s="10" t="s">
        <v>89</v>
      </c>
      <c r="V28" s="10">
        <v>14.0</v>
      </c>
      <c r="W28" s="10">
        <v>4.0</v>
      </c>
      <c r="X28" s="1"/>
      <c r="Y28" s="1"/>
      <c r="Z28" s="1"/>
    </row>
    <row r="29" ht="12.0" customHeight="1">
      <c r="A29" s="1"/>
      <c r="B29" s="1"/>
      <c r="C29" s="2" t="s">
        <v>113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0">
        <v>5.0</v>
      </c>
      <c r="S29" s="10" t="s">
        <v>93</v>
      </c>
      <c r="T29" s="10">
        <v>14.5</v>
      </c>
      <c r="U29" s="10" t="s">
        <v>94</v>
      </c>
      <c r="V29" s="10">
        <v>16.5</v>
      </c>
      <c r="W29" s="10">
        <v>4.0</v>
      </c>
      <c r="X29" s="1"/>
      <c r="Y29" s="1"/>
      <c r="Z29" s="1"/>
    </row>
    <row r="30" ht="12.0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10">
        <v>6.0</v>
      </c>
      <c r="S30" s="10" t="s">
        <v>96</v>
      </c>
      <c r="T30" s="10">
        <v>16.5</v>
      </c>
      <c r="U30" s="10" t="s">
        <v>98</v>
      </c>
      <c r="V30" s="10">
        <v>19.0</v>
      </c>
      <c r="W30" s="10">
        <v>4.0</v>
      </c>
      <c r="X30" s="5"/>
      <c r="Y30" s="5"/>
      <c r="Z30" s="5"/>
    </row>
    <row r="31" ht="19.5" customHeight="1">
      <c r="A31" s="5"/>
      <c r="B31" s="29" t="s">
        <v>99</v>
      </c>
      <c r="C31" s="9"/>
      <c r="D31" s="29" t="s">
        <v>101</v>
      </c>
      <c r="E31" s="30"/>
      <c r="F31" s="9"/>
      <c r="G31" s="31" t="s">
        <v>102</v>
      </c>
      <c r="H31" s="31" t="s">
        <v>104</v>
      </c>
      <c r="I31" s="31" t="s">
        <v>105</v>
      </c>
      <c r="J31" s="31" t="s">
        <v>106</v>
      </c>
      <c r="K31" s="5"/>
      <c r="L31" s="5"/>
      <c r="M31" s="5"/>
      <c r="N31" s="5"/>
      <c r="O31" s="5"/>
      <c r="P31" s="5"/>
      <c r="Q31" s="5"/>
      <c r="R31" s="10" t="s">
        <v>53</v>
      </c>
      <c r="S31" s="16" t="s">
        <v>54</v>
      </c>
      <c r="T31" s="5"/>
      <c r="U31" s="5"/>
      <c r="V31" s="5"/>
      <c r="W31" s="5"/>
      <c r="X31" s="5"/>
      <c r="Y31" s="5"/>
      <c r="Z31" s="5"/>
    </row>
    <row r="32" ht="12.75" customHeight="1">
      <c r="A32" s="5"/>
      <c r="B32" s="43" t="s">
        <v>107</v>
      </c>
      <c r="C32" s="33" t="s">
        <v>109</v>
      </c>
      <c r="D32" s="34" t="s">
        <v>110</v>
      </c>
      <c r="E32" s="35"/>
      <c r="F32" s="35"/>
      <c r="G32" s="35"/>
      <c r="H32" s="35"/>
      <c r="I32" s="36"/>
      <c r="J32" s="37"/>
      <c r="K32" s="12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75" customHeight="1">
      <c r="A33" s="5"/>
      <c r="B33" s="45"/>
      <c r="C33" s="38"/>
      <c r="D33" s="46" t="s">
        <v>122</v>
      </c>
      <c r="E33" s="35"/>
      <c r="F33" s="35"/>
      <c r="G33" s="39">
        <f>E3</f>
        <v>0</v>
      </c>
      <c r="H33" s="39">
        <v>2.0</v>
      </c>
      <c r="I33" s="39">
        <f>G33*H33</f>
        <v>0</v>
      </c>
      <c r="J33" s="10"/>
      <c r="K33" s="12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1.25" customHeight="1">
      <c r="A34" s="5"/>
      <c r="B34" s="45"/>
      <c r="C34" s="38"/>
      <c r="D34" s="39"/>
      <c r="E34" s="42" t="s">
        <v>125</v>
      </c>
      <c r="F34" s="10">
        <f t="shared" ref="F34:F38" si="5">G5</f>
        <v>0</v>
      </c>
      <c r="G34" s="48"/>
      <c r="H34" s="49"/>
      <c r="I34" s="50"/>
      <c r="J34" s="37">
        <f t="shared" ref="J34:J38" si="6">F34*$I$33</f>
        <v>0</v>
      </c>
      <c r="K34" s="5"/>
      <c r="L34" s="40"/>
      <c r="M34" s="12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0" customHeight="1">
      <c r="A35" s="5"/>
      <c r="B35" s="45"/>
      <c r="C35" s="38"/>
      <c r="D35" s="41"/>
      <c r="E35" s="42" t="s">
        <v>127</v>
      </c>
      <c r="F35" s="10">
        <f t="shared" si="5"/>
        <v>0</v>
      </c>
      <c r="G35" s="52"/>
      <c r="H35" s="5"/>
      <c r="I35" s="53"/>
      <c r="J35" s="37">
        <f t="shared" si="6"/>
        <v>0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0" customHeight="1">
      <c r="A36" s="5"/>
      <c r="B36" s="45"/>
      <c r="C36" s="38"/>
      <c r="D36" s="41"/>
      <c r="E36" s="42" t="s">
        <v>130</v>
      </c>
      <c r="F36" s="10">
        <f t="shared" si="5"/>
        <v>0</v>
      </c>
      <c r="G36" s="52"/>
      <c r="H36" s="5"/>
      <c r="I36" s="53"/>
      <c r="J36" s="37">
        <f t="shared" si="6"/>
        <v>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0" customHeight="1">
      <c r="A37" s="5"/>
      <c r="B37" s="45"/>
      <c r="C37" s="38"/>
      <c r="D37" s="41"/>
      <c r="E37" s="42" t="s">
        <v>131</v>
      </c>
      <c r="F37" s="10">
        <f t="shared" si="5"/>
        <v>0</v>
      </c>
      <c r="G37" s="52"/>
      <c r="H37" s="5"/>
      <c r="I37" s="53"/>
      <c r="J37" s="37">
        <f t="shared" si="6"/>
        <v>0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0" customHeight="1">
      <c r="A38" s="5"/>
      <c r="B38" s="45"/>
      <c r="C38" s="63"/>
      <c r="D38" s="41"/>
      <c r="E38" s="42" t="s">
        <v>133</v>
      </c>
      <c r="F38" s="10">
        <f t="shared" si="5"/>
        <v>0</v>
      </c>
      <c r="G38" s="52"/>
      <c r="H38" s="5"/>
      <c r="I38" s="53"/>
      <c r="J38" s="37">
        <f t="shared" si="6"/>
        <v>0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0" customHeight="1">
      <c r="A39" s="5"/>
      <c r="B39" s="45"/>
      <c r="C39" s="33" t="s">
        <v>138</v>
      </c>
      <c r="D39" s="34" t="s">
        <v>140</v>
      </c>
      <c r="E39" s="47"/>
      <c r="F39" s="47"/>
      <c r="G39" s="35"/>
      <c r="H39" s="35"/>
      <c r="I39" s="36"/>
      <c r="J39" s="51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2.0" customHeight="1">
      <c r="A40" s="5"/>
      <c r="B40" s="45"/>
      <c r="C40" s="38"/>
      <c r="D40" s="48"/>
      <c r="E40" s="42" t="s">
        <v>142</v>
      </c>
      <c r="F40" s="39" t="s">
        <v>143</v>
      </c>
      <c r="G40" s="50">
        <v>30.0</v>
      </c>
      <c r="H40" s="50">
        <v>2.5</v>
      </c>
      <c r="I40" s="10">
        <f t="shared" ref="I40:I42" si="7">G40*H40+25%*G40*H40</f>
        <v>93.75</v>
      </c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0" customHeight="1">
      <c r="A41" s="5"/>
      <c r="B41" s="45"/>
      <c r="C41" s="38"/>
      <c r="D41" s="52"/>
      <c r="E41" s="42" t="s">
        <v>147</v>
      </c>
      <c r="F41" s="10" t="s">
        <v>148</v>
      </c>
      <c r="G41" s="37">
        <v>45.0</v>
      </c>
      <c r="H41" s="37">
        <v>2.0</v>
      </c>
      <c r="I41" s="10">
        <f t="shared" si="7"/>
        <v>112.5</v>
      </c>
      <c r="J41" s="39">
        <f>VLOOKUP((IF(SUM(G5:G9)&lt;=30, "hasta 30 secc", IF(AND(SUM(G5:G9)&gt;=31, SUM(G5:G9)&lt;=48), "de 31 a 48 secc", IF(SUM(G5:G9)&gt;=49, "Más de 49 secc", "")))),F40:I42,4,FALSE)</f>
        <v>93.75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0" customHeight="1">
      <c r="A42" s="5"/>
      <c r="B42" s="45"/>
      <c r="C42" s="38"/>
      <c r="D42" s="52"/>
      <c r="E42" s="42" t="s">
        <v>152</v>
      </c>
      <c r="F42" s="44" t="s">
        <v>153</v>
      </c>
      <c r="G42" s="59">
        <v>60.0</v>
      </c>
      <c r="H42" s="59">
        <v>2.0</v>
      </c>
      <c r="I42" s="10">
        <f t="shared" si="7"/>
        <v>150</v>
      </c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0" customHeight="1">
      <c r="A43" s="5"/>
      <c r="B43" s="45"/>
      <c r="C43" s="38"/>
      <c r="D43" s="34" t="s">
        <v>155</v>
      </c>
      <c r="E43" s="47"/>
      <c r="F43" s="47"/>
      <c r="G43" s="35"/>
      <c r="H43" s="35"/>
      <c r="I43" s="36"/>
      <c r="J43" s="51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0" customHeight="1">
      <c r="A44" s="5"/>
      <c r="B44" s="45"/>
      <c r="C44" s="38"/>
      <c r="D44" s="48"/>
      <c r="E44" s="64" t="s">
        <v>175</v>
      </c>
      <c r="F44" s="39">
        <v>1.0</v>
      </c>
      <c r="G44" s="50">
        <v>30.0</v>
      </c>
      <c r="H44" s="50">
        <v>3.0</v>
      </c>
      <c r="I44" s="10">
        <f t="shared" ref="I44:I50" si="8">G44*H44</f>
        <v>90</v>
      </c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0" customHeight="1">
      <c r="A45" s="5"/>
      <c r="B45" s="45"/>
      <c r="C45" s="38"/>
      <c r="D45" s="52"/>
      <c r="E45" s="64" t="s">
        <v>178</v>
      </c>
      <c r="F45" s="10">
        <v>2.0</v>
      </c>
      <c r="G45" s="37">
        <v>30.0</v>
      </c>
      <c r="H45" s="37">
        <v>3.0</v>
      </c>
      <c r="I45" s="10">
        <f t="shared" si="8"/>
        <v>90</v>
      </c>
      <c r="J45" s="39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0" customHeight="1">
      <c r="A46" s="5"/>
      <c r="B46" s="45"/>
      <c r="C46" s="38"/>
      <c r="D46" s="52"/>
      <c r="E46" s="64" t="s">
        <v>182</v>
      </c>
      <c r="F46" s="44">
        <v>3.0</v>
      </c>
      <c r="G46" s="59">
        <v>30.0</v>
      </c>
      <c r="H46" s="59">
        <v>3.0</v>
      </c>
      <c r="I46" s="10">
        <f t="shared" si="8"/>
        <v>90</v>
      </c>
      <c r="J46" s="39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0" customHeight="1">
      <c r="A47" s="5"/>
      <c r="B47" s="45"/>
      <c r="C47" s="38"/>
      <c r="D47" s="52"/>
      <c r="E47" s="70" t="s">
        <v>184</v>
      </c>
      <c r="F47" s="44">
        <v>4.0</v>
      </c>
      <c r="G47" s="59">
        <v>30.0</v>
      </c>
      <c r="H47" s="59">
        <v>3.0</v>
      </c>
      <c r="I47" s="10">
        <f t="shared" si="8"/>
        <v>90</v>
      </c>
      <c r="J47" s="39">
        <f>VLOOKUP(IF(SUM(G5:G9)&lt;=8,"hasta 8 =",IF(SUM(G5:G9)&lt;=17,"De 9 a 17 =",IF(SUM(G5:G9)&lt;=26,"De 18 a 26 =",IF(SUM(G5:G9)&lt;=35,"De 27 a 35 =",IF(SUM(G5:G9)&lt;=43,"De 36 a 43 =",IF(SUM(G5:G9)&lt;=52,"De 44 a 52 =","De 53 a 66 =")))))),E44:F50,2,FALSE)*I44</f>
        <v>90</v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0" customHeight="1">
      <c r="A48" s="5"/>
      <c r="B48" s="45"/>
      <c r="C48" s="38"/>
      <c r="D48" s="52"/>
      <c r="E48" s="70" t="s">
        <v>188</v>
      </c>
      <c r="F48" s="44">
        <v>5.0</v>
      </c>
      <c r="G48" s="59">
        <v>30.0</v>
      </c>
      <c r="H48" s="59">
        <v>3.0</v>
      </c>
      <c r="I48" s="10">
        <f t="shared" si="8"/>
        <v>90</v>
      </c>
      <c r="J48" s="39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0" customHeight="1">
      <c r="A49" s="5"/>
      <c r="B49" s="45"/>
      <c r="C49" s="38"/>
      <c r="D49" s="52"/>
      <c r="E49" s="70" t="s">
        <v>190</v>
      </c>
      <c r="F49" s="44">
        <v>6.0</v>
      </c>
      <c r="G49" s="59">
        <v>30.0</v>
      </c>
      <c r="H49" s="59">
        <v>3.0</v>
      </c>
      <c r="I49" s="10">
        <f t="shared" si="8"/>
        <v>90</v>
      </c>
      <c r="J49" s="39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0" customHeight="1">
      <c r="A50" s="5"/>
      <c r="B50" s="45"/>
      <c r="C50" s="38"/>
      <c r="D50" s="52"/>
      <c r="E50" s="70" t="s">
        <v>192</v>
      </c>
      <c r="F50" s="44">
        <v>7.0</v>
      </c>
      <c r="G50" s="59">
        <v>30.0</v>
      </c>
      <c r="H50" s="59">
        <v>3.0</v>
      </c>
      <c r="I50" s="10">
        <f t="shared" si="8"/>
        <v>90</v>
      </c>
      <c r="J50" s="39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0" customHeight="1">
      <c r="A51" s="5"/>
      <c r="B51" s="45"/>
      <c r="C51" s="56"/>
      <c r="D51" s="52"/>
      <c r="E51" s="42" t="s">
        <v>173</v>
      </c>
      <c r="F51" s="69"/>
      <c r="G51" s="69"/>
      <c r="H51" s="59"/>
      <c r="I51" s="10">
        <v>25.8</v>
      </c>
      <c r="J51" s="39">
        <f>I51</f>
        <v>25.8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0" customHeight="1">
      <c r="A52" s="5"/>
      <c r="B52" s="45"/>
      <c r="C52" s="33" t="s">
        <v>176</v>
      </c>
      <c r="D52" s="34" t="s">
        <v>177</v>
      </c>
      <c r="E52" s="47"/>
      <c r="F52" s="47"/>
      <c r="G52" s="35"/>
      <c r="H52" s="35"/>
      <c r="I52" s="36"/>
      <c r="J52" s="5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0" customHeight="1">
      <c r="A53" s="5"/>
      <c r="B53" s="45"/>
      <c r="C53" s="38"/>
      <c r="D53" s="48"/>
      <c r="E53" s="64" t="s">
        <v>197</v>
      </c>
      <c r="F53" s="39">
        <v>1.0</v>
      </c>
      <c r="G53" s="50">
        <v>30.0</v>
      </c>
      <c r="H53" s="50">
        <v>3.0</v>
      </c>
      <c r="I53" s="10">
        <f t="shared" ref="I53:I58" si="9">G53*H53</f>
        <v>90</v>
      </c>
      <c r="J53" s="39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0" customHeight="1">
      <c r="A54" s="5"/>
      <c r="B54" s="45"/>
      <c r="C54" s="38"/>
      <c r="D54" s="52"/>
      <c r="E54" s="64" t="s">
        <v>199</v>
      </c>
      <c r="F54" s="10">
        <v>2.0</v>
      </c>
      <c r="G54" s="37">
        <v>30.0</v>
      </c>
      <c r="H54" s="37">
        <v>3.0</v>
      </c>
      <c r="I54" s="10">
        <f t="shared" si="9"/>
        <v>90</v>
      </c>
      <c r="J54" s="39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0" customHeight="1">
      <c r="A55" s="5"/>
      <c r="B55" s="45"/>
      <c r="C55" s="38"/>
      <c r="D55" s="52"/>
      <c r="E55" s="64" t="s">
        <v>203</v>
      </c>
      <c r="F55" s="44">
        <v>3.0</v>
      </c>
      <c r="G55" s="59">
        <v>30.0</v>
      </c>
      <c r="H55" s="59">
        <v>3.0</v>
      </c>
      <c r="I55" s="10">
        <f t="shared" si="9"/>
        <v>90</v>
      </c>
      <c r="J55" s="39">
        <f>VLOOKUP(IF(SUM(G5:G9)&lt;=10,"hasta 10 =",IF(SUM(G5:G9)&lt;=20,"De 11 a 20 =",IF(SUM(G5:G9)&lt;=30,"De 21 a 30 =",IF(SUM(G5:G9)&lt;=40,"De 31 a 40 =",IF(SUM(G5:G9)&lt;=50,"De 41 a 50 =","De 51 a 60 ="))))),E53:F58,2,FALSE)*I53</f>
        <v>90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0" customHeight="1">
      <c r="A56" s="5"/>
      <c r="B56" s="45"/>
      <c r="C56" s="38"/>
      <c r="D56" s="52"/>
      <c r="E56" s="64" t="s">
        <v>207</v>
      </c>
      <c r="F56" s="10">
        <v>4.0</v>
      </c>
      <c r="G56" s="37">
        <v>30.0</v>
      </c>
      <c r="H56" s="37">
        <v>3.0</v>
      </c>
      <c r="I56" s="10">
        <f t="shared" si="9"/>
        <v>90</v>
      </c>
      <c r="J56" s="39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0" customHeight="1">
      <c r="A57" s="5"/>
      <c r="B57" s="45"/>
      <c r="C57" s="38"/>
      <c r="D57" s="52"/>
      <c r="E57" s="64" t="s">
        <v>209</v>
      </c>
      <c r="F57" s="10">
        <v>5.0</v>
      </c>
      <c r="G57" s="37">
        <v>30.0</v>
      </c>
      <c r="H57" s="37">
        <v>3.0</v>
      </c>
      <c r="I57" s="10">
        <f t="shared" si="9"/>
        <v>90</v>
      </c>
      <c r="J57" s="39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0" customHeight="1">
      <c r="A58" s="5"/>
      <c r="B58" s="45"/>
      <c r="C58" s="38"/>
      <c r="D58" s="52"/>
      <c r="E58" s="64" t="s">
        <v>210</v>
      </c>
      <c r="F58" s="10">
        <v>6.0</v>
      </c>
      <c r="G58" s="37">
        <v>30.0</v>
      </c>
      <c r="H58" s="37">
        <v>3.0</v>
      </c>
      <c r="I58" s="10">
        <f t="shared" si="9"/>
        <v>90</v>
      </c>
      <c r="J58" s="39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0" customHeight="1">
      <c r="A59" s="5"/>
      <c r="B59" s="45"/>
      <c r="C59" s="38"/>
      <c r="D59" s="34" t="s">
        <v>213</v>
      </c>
      <c r="E59" s="47"/>
      <c r="F59" s="47"/>
      <c r="G59" s="35"/>
      <c r="H59" s="35"/>
      <c r="I59" s="36"/>
      <c r="J59" s="5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0" customHeight="1">
      <c r="A60" s="5"/>
      <c r="B60" s="45"/>
      <c r="C60" s="38"/>
      <c r="D60" s="48"/>
      <c r="E60" s="64" t="s">
        <v>217</v>
      </c>
      <c r="F60" s="39">
        <v>1.0</v>
      </c>
      <c r="G60" s="50">
        <v>30.0</v>
      </c>
      <c r="H60" s="50">
        <v>3.0</v>
      </c>
      <c r="I60" s="10">
        <f t="shared" ref="I60:I63" si="10">G60*H60</f>
        <v>90</v>
      </c>
      <c r="J60" s="39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2.0" customHeight="1">
      <c r="A61" s="5"/>
      <c r="B61" s="45"/>
      <c r="C61" s="38"/>
      <c r="D61" s="52"/>
      <c r="E61" s="64" t="s">
        <v>163</v>
      </c>
      <c r="F61" s="10">
        <v>2.0</v>
      </c>
      <c r="G61" s="37">
        <v>30.0</v>
      </c>
      <c r="H61" s="37">
        <v>3.0</v>
      </c>
      <c r="I61" s="10">
        <f t="shared" si="10"/>
        <v>90</v>
      </c>
      <c r="J61" s="39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0" customHeight="1">
      <c r="A62" s="5"/>
      <c r="B62" s="45"/>
      <c r="C62" s="38"/>
      <c r="D62" s="52"/>
      <c r="E62" s="64" t="s">
        <v>166</v>
      </c>
      <c r="F62" s="44">
        <v>3.0</v>
      </c>
      <c r="G62" s="59">
        <v>30.0</v>
      </c>
      <c r="H62" s="59">
        <v>3.0</v>
      </c>
      <c r="I62" s="10">
        <f t="shared" si="10"/>
        <v>90</v>
      </c>
      <c r="J62" s="39">
        <f>VLOOKUP(IF(SUM(G5:G9)&lt;=15,"De 1 a 15 =",IF(SUM(G5:G9)&lt;=30,"De 16 a 30 =",IF(SUM(G5:G9)&lt;=45,"De 31 a 45 =",IF(SUM(G5:G9)&lt;=60,"De 46 a 60 =")))),E60:F63,2,FALSE)*I60</f>
        <v>90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2.0" customHeight="1">
      <c r="A63" s="5"/>
      <c r="B63" s="45"/>
      <c r="C63" s="38"/>
      <c r="D63" s="52"/>
      <c r="E63" s="64" t="s">
        <v>218</v>
      </c>
      <c r="F63" s="10">
        <v>4.0</v>
      </c>
      <c r="G63" s="37">
        <v>30.0</v>
      </c>
      <c r="H63" s="37">
        <v>3.0</v>
      </c>
      <c r="I63" s="10">
        <f t="shared" si="10"/>
        <v>90</v>
      </c>
      <c r="J63" s="39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2.0" customHeight="1">
      <c r="A64" s="5"/>
      <c r="B64" s="45"/>
      <c r="C64" s="38"/>
      <c r="D64" s="34" t="s">
        <v>221</v>
      </c>
      <c r="E64" s="47"/>
      <c r="F64" s="47"/>
      <c r="G64" s="35"/>
      <c r="H64" s="35"/>
      <c r="I64" s="36"/>
      <c r="J64" s="5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2.0" customHeight="1">
      <c r="A65" s="5"/>
      <c r="B65" s="45"/>
      <c r="C65" s="38"/>
      <c r="D65" s="48"/>
      <c r="E65" s="64" t="s">
        <v>217</v>
      </c>
      <c r="F65" s="39">
        <v>1.0</v>
      </c>
      <c r="G65" s="50">
        <v>30.0</v>
      </c>
      <c r="H65" s="50">
        <v>3.0</v>
      </c>
      <c r="I65" s="10">
        <f t="shared" ref="I65:I68" si="11">G65*H65</f>
        <v>90</v>
      </c>
      <c r="J65" s="39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2.0" customHeight="1">
      <c r="A66" s="5"/>
      <c r="B66" s="45"/>
      <c r="C66" s="38"/>
      <c r="D66" s="52"/>
      <c r="E66" s="64" t="s">
        <v>163</v>
      </c>
      <c r="F66" s="10">
        <v>2.0</v>
      </c>
      <c r="G66" s="37">
        <v>30.0</v>
      </c>
      <c r="H66" s="37">
        <v>3.0</v>
      </c>
      <c r="I66" s="10">
        <f t="shared" si="11"/>
        <v>90</v>
      </c>
      <c r="J66" s="39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2.0" customHeight="1">
      <c r="A67" s="5"/>
      <c r="B67" s="45"/>
      <c r="C67" s="38"/>
      <c r="D67" s="52"/>
      <c r="E67" s="64" t="s">
        <v>166</v>
      </c>
      <c r="F67" s="44">
        <v>3.0</v>
      </c>
      <c r="G67" s="59">
        <v>30.0</v>
      </c>
      <c r="H67" s="59">
        <v>3.0</v>
      </c>
      <c r="I67" s="10">
        <f t="shared" si="11"/>
        <v>90</v>
      </c>
      <c r="J67" s="39">
        <f>VLOOKUP(IF(SUM(G5:G9)&lt;=15,"De 1 a 15 =",IF(SUM(G5:G9)&lt;=30,"De 16 a 30 =",IF(SUM(G5:G9)&lt;=45,"De 31 a 45 =",IF(SUM(G5:G9)&lt;=60,"De 46 a 60 =")))),E65:F68,2,FALSE)*I65</f>
        <v>90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0" customHeight="1">
      <c r="A68" s="5"/>
      <c r="B68" s="45"/>
      <c r="C68" s="56"/>
      <c r="D68" s="52"/>
      <c r="E68" s="64" t="s">
        <v>218</v>
      </c>
      <c r="F68" s="10">
        <v>4.0</v>
      </c>
      <c r="G68" s="37">
        <v>30.0</v>
      </c>
      <c r="H68" s="37">
        <v>3.0</v>
      </c>
      <c r="I68" s="10">
        <f t="shared" si="11"/>
        <v>90</v>
      </c>
      <c r="J68" s="39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0" customHeight="1">
      <c r="A69" s="5"/>
      <c r="B69" s="45"/>
      <c r="C69" s="33" t="s">
        <v>146</v>
      </c>
      <c r="D69" s="34" t="s">
        <v>149</v>
      </c>
      <c r="E69" s="35"/>
      <c r="F69" s="35"/>
      <c r="G69" s="35"/>
      <c r="H69" s="4"/>
      <c r="I69" s="76"/>
      <c r="J69" s="37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0" customHeight="1">
      <c r="A70" s="5"/>
      <c r="B70" s="45"/>
      <c r="C70" s="38"/>
      <c r="D70" s="39"/>
      <c r="E70" s="42" t="s">
        <v>83</v>
      </c>
      <c r="F70" s="37"/>
      <c r="G70" s="5" t="s">
        <v>151</v>
      </c>
      <c r="H70" s="10">
        <v>1.0</v>
      </c>
      <c r="I70" s="10">
        <f>IF(SUM(G5:G9)&lt;4,90,IF(SUM(G5:G9)&lt;10,150,300))</f>
        <v>90</v>
      </c>
      <c r="J70" s="10">
        <f t="shared" ref="J70:J71" si="12">I70</f>
        <v>90</v>
      </c>
      <c r="K70" s="62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0" customHeight="1">
      <c r="A71" s="5"/>
      <c r="B71" s="45"/>
      <c r="C71" s="56"/>
      <c r="D71" s="44"/>
      <c r="E71" s="42" t="s">
        <v>156</v>
      </c>
      <c r="F71" s="37"/>
      <c r="G71" s="37"/>
      <c r="H71" s="10" t="s">
        <v>193</v>
      </c>
      <c r="I71" s="10">
        <f>I70*15%</f>
        <v>13.5</v>
      </c>
      <c r="J71" s="10">
        <f t="shared" si="12"/>
        <v>13.5</v>
      </c>
      <c r="K71" s="62"/>
      <c r="L71" s="5"/>
      <c r="M71" s="7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5"/>
      <c r="B72" s="45"/>
      <c r="C72" s="33" t="s">
        <v>161</v>
      </c>
      <c r="D72" s="42" t="s">
        <v>195</v>
      </c>
      <c r="E72" s="65"/>
      <c r="F72" s="66"/>
      <c r="G72" s="35"/>
      <c r="H72" s="10" t="s">
        <v>196</v>
      </c>
      <c r="I72" s="36"/>
      <c r="J72" s="51"/>
      <c r="K72" s="62"/>
      <c r="L72" s="5"/>
      <c r="M72" s="7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5"/>
      <c r="B73" s="45"/>
      <c r="C73" s="38"/>
      <c r="D73" s="42" t="s">
        <v>162</v>
      </c>
      <c r="E73" s="65"/>
      <c r="F73" s="66"/>
      <c r="G73" s="10"/>
      <c r="H73" s="10" t="s">
        <v>168</v>
      </c>
      <c r="I73" s="10"/>
      <c r="J73" s="10">
        <v>50.0</v>
      </c>
      <c r="K73" s="62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0" customHeight="1">
      <c r="A74" s="5"/>
      <c r="B74" s="45"/>
      <c r="C74" s="38"/>
      <c r="D74" s="42" t="s">
        <v>167</v>
      </c>
      <c r="E74" s="65"/>
      <c r="F74" s="66"/>
      <c r="G74" s="10"/>
      <c r="H74" s="10" t="s">
        <v>168</v>
      </c>
      <c r="I74" s="10"/>
      <c r="J74" s="10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0" customHeight="1">
      <c r="A75" s="5"/>
      <c r="B75" s="45"/>
      <c r="C75" s="38"/>
      <c r="D75" s="54" t="s">
        <v>200</v>
      </c>
      <c r="E75" s="69"/>
      <c r="F75" s="69"/>
      <c r="G75" s="69"/>
      <c r="H75" s="69"/>
      <c r="I75" s="69"/>
      <c r="J75" s="37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0" customHeight="1">
      <c r="A76" s="5"/>
      <c r="B76" s="45"/>
      <c r="C76" s="38"/>
      <c r="D76" s="78"/>
      <c r="E76" s="58" t="s">
        <v>142</v>
      </c>
      <c r="F76" s="79">
        <v>0.3</v>
      </c>
      <c r="G76" s="73" t="s">
        <v>204</v>
      </c>
      <c r="H76" s="73"/>
      <c r="I76" s="10"/>
      <c r="J76" s="10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0" customHeight="1">
      <c r="A77" s="5"/>
      <c r="B77" s="45"/>
      <c r="C77" s="38"/>
      <c r="D77" s="80"/>
      <c r="E77" s="58" t="s">
        <v>147</v>
      </c>
      <c r="F77" s="79">
        <v>0.4</v>
      </c>
      <c r="G77" s="73" t="s">
        <v>204</v>
      </c>
      <c r="H77" s="73"/>
      <c r="I77" s="10"/>
      <c r="J77" s="10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0" customHeight="1">
      <c r="A78" s="5"/>
      <c r="B78" s="45"/>
      <c r="C78" s="56"/>
      <c r="D78" s="61"/>
      <c r="E78" s="58" t="s">
        <v>152</v>
      </c>
      <c r="F78" s="79">
        <v>0.6</v>
      </c>
      <c r="G78" s="73" t="s">
        <v>204</v>
      </c>
      <c r="H78" s="73"/>
      <c r="I78" s="10"/>
      <c r="J78" s="10"/>
      <c r="K78" s="12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0" customHeight="1">
      <c r="A79" s="5"/>
      <c r="B79" s="45"/>
      <c r="C79" s="33" t="s">
        <v>179</v>
      </c>
      <c r="D79" s="68" t="s">
        <v>180</v>
      </c>
      <c r="E79" s="74"/>
      <c r="F79" s="72"/>
      <c r="G79" s="73"/>
      <c r="H79" s="73" t="s">
        <v>181</v>
      </c>
      <c r="I79" s="10">
        <v>15.0</v>
      </c>
      <c r="J79" s="10">
        <f>I79</f>
        <v>15</v>
      </c>
      <c r="K79" s="12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8.75" customHeight="1">
      <c r="A80" s="5"/>
      <c r="B80" s="81"/>
      <c r="C80" s="56"/>
      <c r="D80" s="42" t="s">
        <v>183</v>
      </c>
      <c r="E80" s="65"/>
      <c r="F80" s="66"/>
      <c r="G80" s="10"/>
      <c r="H80" s="10"/>
      <c r="I80" s="10" t="s">
        <v>168</v>
      </c>
      <c r="J80" s="10"/>
      <c r="K80" s="24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1.75" customHeight="1">
      <c r="A81" s="5"/>
      <c r="B81" s="43" t="s">
        <v>185</v>
      </c>
      <c r="C81" s="75" t="s">
        <v>186</v>
      </c>
      <c r="D81" s="42" t="s">
        <v>187</v>
      </c>
      <c r="E81" s="69"/>
      <c r="F81" s="37"/>
      <c r="G81" s="10">
        <v>1.0</v>
      </c>
      <c r="H81" s="10">
        <v>5.0</v>
      </c>
      <c r="I81" s="10">
        <f t="shared" ref="I81:I82" si="13">G81*H81</f>
        <v>5</v>
      </c>
      <c r="J81" s="10">
        <f t="shared" ref="J81:J83" si="14">I81</f>
        <v>5</v>
      </c>
      <c r="K81" s="24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1.75" customHeight="1">
      <c r="A82" s="5"/>
      <c r="B82" s="45"/>
      <c r="C82" s="38"/>
      <c r="D82" s="42" t="s">
        <v>189</v>
      </c>
      <c r="E82" s="69"/>
      <c r="F82" s="37"/>
      <c r="G82" s="10">
        <f>IF(SUM(E21:E22)=0,1,(SUM(E21:E22)))</f>
        <v>1</v>
      </c>
      <c r="H82" s="10">
        <v>3.25</v>
      </c>
      <c r="I82" s="10">
        <f t="shared" si="13"/>
        <v>3.25</v>
      </c>
      <c r="J82" s="10">
        <f t="shared" si="14"/>
        <v>3.25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1.75" customHeight="1">
      <c r="A83" s="5"/>
      <c r="B83" s="45"/>
      <c r="C83" s="38"/>
      <c r="D83" s="42" t="s">
        <v>97</v>
      </c>
      <c r="E83" s="69"/>
      <c r="F83" s="37"/>
      <c r="G83" s="10">
        <f>E13</f>
        <v>0</v>
      </c>
      <c r="H83" s="10">
        <v>1.5</v>
      </c>
      <c r="I83" s="10">
        <f>MAX(H83 * G83, 12)</f>
        <v>12</v>
      </c>
      <c r="J83" s="10">
        <f t="shared" si="14"/>
        <v>12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1.75" customHeight="1">
      <c r="A84" s="5"/>
      <c r="B84" s="45"/>
      <c r="C84" s="38"/>
      <c r="D84" s="46" t="s">
        <v>191</v>
      </c>
      <c r="E84" s="47"/>
      <c r="F84" s="47"/>
      <c r="G84" s="35"/>
      <c r="H84" s="35"/>
      <c r="I84" s="36"/>
      <c r="J84" s="51" t="str">
        <f>IF(SUM(G5:G9)&lt;=15,"Tipo I:","Tipo II:")</f>
        <v>Tipo I:</v>
      </c>
      <c r="K84" s="24"/>
      <c r="L84" s="1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3.5" customHeight="1">
      <c r="A85" s="5"/>
      <c r="B85" s="45"/>
      <c r="C85" s="38"/>
      <c r="D85" s="82"/>
      <c r="E85" s="69" t="s">
        <v>219</v>
      </c>
      <c r="F85" s="37" t="s">
        <v>248</v>
      </c>
      <c r="G85" s="10">
        <f>IF(J84=E85,SUM(G5:G9),0)</f>
        <v>0</v>
      </c>
      <c r="H85" s="10">
        <v>1.5</v>
      </c>
      <c r="I85" s="10">
        <f t="shared" ref="I85:I86" si="15">G85*H85</f>
        <v>0</v>
      </c>
      <c r="J85" s="10">
        <f t="shared" ref="J85:J88" si="16">I85</f>
        <v>0</v>
      </c>
      <c r="K85" s="5"/>
      <c r="L85" s="1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3.5" customHeight="1">
      <c r="A86" s="5"/>
      <c r="B86" s="45"/>
      <c r="C86" s="56"/>
      <c r="D86" s="83"/>
      <c r="E86" s="69" t="s">
        <v>222</v>
      </c>
      <c r="F86" s="37" t="s">
        <v>249</v>
      </c>
      <c r="G86" s="10">
        <f>IF(J84=E86,SUM(G5:G9),0)</f>
        <v>0</v>
      </c>
      <c r="H86" s="10">
        <v>1.5</v>
      </c>
      <c r="I86" s="10">
        <f t="shared" si="15"/>
        <v>0</v>
      </c>
      <c r="J86" s="10">
        <f t="shared" si="16"/>
        <v>0</v>
      </c>
      <c r="K86" s="5"/>
      <c r="L86" s="1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45"/>
      <c r="C87" s="84" t="s">
        <v>194</v>
      </c>
      <c r="D87" s="60" t="s">
        <v>150</v>
      </c>
      <c r="E87" s="69"/>
      <c r="F87" s="37"/>
      <c r="G87" s="10"/>
      <c r="H87" s="10"/>
      <c r="I87" s="10">
        <v>9.0</v>
      </c>
      <c r="J87" s="10">
        <f t="shared" si="16"/>
        <v>9</v>
      </c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0" customHeight="1">
      <c r="A88" s="5"/>
      <c r="B88" s="45"/>
      <c r="C88" s="38"/>
      <c r="D88" s="42" t="s">
        <v>154</v>
      </c>
      <c r="E88" s="69"/>
      <c r="F88" s="37"/>
      <c r="G88" s="10"/>
      <c r="H88" s="10"/>
      <c r="I88" s="10">
        <v>7.5</v>
      </c>
      <c r="J88" s="10">
        <f t="shared" si="16"/>
        <v>7.5</v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0" customHeight="1">
      <c r="A89" s="5"/>
      <c r="B89" s="45"/>
      <c r="C89" s="38"/>
      <c r="D89" s="34" t="s">
        <v>198</v>
      </c>
      <c r="E89" s="47"/>
      <c r="F89" s="47"/>
      <c r="G89" s="35"/>
      <c r="H89" s="35"/>
      <c r="I89" s="36"/>
      <c r="J89" s="5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0" customHeight="1">
      <c r="A90" s="5"/>
      <c r="B90" s="45"/>
      <c r="C90" s="38"/>
      <c r="D90" s="48"/>
      <c r="E90" s="8" t="s">
        <v>201</v>
      </c>
      <c r="F90" s="50"/>
      <c r="G90" s="77" t="s">
        <v>202</v>
      </c>
      <c r="H90" s="50">
        <v>10.0</v>
      </c>
      <c r="I90" s="10"/>
      <c r="J90" s="39"/>
      <c r="K90" s="12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0" customHeight="1">
      <c r="A91" s="5"/>
      <c r="B91" s="45"/>
      <c r="C91" s="38"/>
      <c r="D91" s="52"/>
      <c r="E91" s="8" t="s">
        <v>205</v>
      </c>
      <c r="F91" s="37"/>
      <c r="G91" s="56"/>
      <c r="H91" s="37">
        <v>11.3</v>
      </c>
      <c r="I91" s="8"/>
      <c r="J91" s="39"/>
      <c r="K91" s="24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0" customHeight="1">
      <c r="A92" s="5"/>
      <c r="B92" s="45"/>
      <c r="C92" s="38"/>
      <c r="D92" s="52"/>
      <c r="E92" s="8" t="s">
        <v>206</v>
      </c>
      <c r="F92" s="59"/>
      <c r="G92" s="59" t="s">
        <v>208</v>
      </c>
      <c r="H92" s="59">
        <v>13.5</v>
      </c>
      <c r="I92" s="39" t="str">
        <f>IF(N10/2&lt;151,"Tipo A",IF(AND(N10/2&gt;150,N10/2&lt;301),"Tipo C",IF(AND(N10/2&gt;300,N10/2&lt;901),"Tipo D",IF(AND(N10/2&gt;900),"Tipo E",0))))</f>
        <v>Tipo A</v>
      </c>
      <c r="J92" s="39">
        <f>VLOOKUP(I92,E90:H94,4,FALSE)</f>
        <v>10</v>
      </c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0" customHeight="1">
      <c r="A93" s="5"/>
      <c r="B93" s="45"/>
      <c r="C93" s="38"/>
      <c r="D93" s="52"/>
      <c r="E93" s="8" t="s">
        <v>211</v>
      </c>
      <c r="F93" s="59"/>
      <c r="G93" s="59" t="s">
        <v>212</v>
      </c>
      <c r="H93" s="59">
        <v>24.3</v>
      </c>
      <c r="I93" s="10"/>
      <c r="J93" s="39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0" customHeight="1">
      <c r="A94" s="5"/>
      <c r="B94" s="45"/>
      <c r="C94" s="38"/>
      <c r="D94" s="57"/>
      <c r="E94" s="8" t="s">
        <v>214</v>
      </c>
      <c r="F94" s="59"/>
      <c r="G94" s="59" t="s">
        <v>215</v>
      </c>
      <c r="H94" s="59">
        <v>32.3</v>
      </c>
      <c r="I94" s="10"/>
      <c r="J94" s="10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0" customHeight="1">
      <c r="A95" s="5"/>
      <c r="B95" s="45"/>
      <c r="C95" s="38"/>
      <c r="D95" s="34" t="s">
        <v>216</v>
      </c>
      <c r="E95" s="47"/>
      <c r="F95" s="47"/>
      <c r="G95" s="35"/>
      <c r="H95" s="35"/>
      <c r="I95" s="36"/>
      <c r="J95" s="5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75" customHeight="1">
      <c r="A96" s="5"/>
      <c r="B96" s="45"/>
      <c r="C96" s="38"/>
      <c r="D96" s="48"/>
      <c r="E96" s="8" t="s">
        <v>201</v>
      </c>
      <c r="F96" s="50"/>
      <c r="G96" s="50" t="s">
        <v>142</v>
      </c>
      <c r="H96" s="50">
        <v>4.2</v>
      </c>
      <c r="I96" s="10"/>
      <c r="J96" s="39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75" customHeight="1">
      <c r="A97" s="5"/>
      <c r="B97" s="45"/>
      <c r="C97" s="38"/>
      <c r="D97" s="52"/>
      <c r="E97" s="8" t="s">
        <v>205</v>
      </c>
      <c r="F97" s="37"/>
      <c r="G97" s="37" t="s">
        <v>147</v>
      </c>
      <c r="H97" s="37">
        <v>4.2</v>
      </c>
      <c r="I97" s="8"/>
      <c r="J97" s="39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75" customHeight="1">
      <c r="A98" s="5"/>
      <c r="B98" s="45"/>
      <c r="C98" s="38"/>
      <c r="D98" s="52"/>
      <c r="E98" s="8" t="s">
        <v>206</v>
      </c>
      <c r="F98" s="59"/>
      <c r="G98" s="59" t="s">
        <v>152</v>
      </c>
      <c r="H98" s="59">
        <v>6.0</v>
      </c>
      <c r="I98" s="39" t="str">
        <f>I92</f>
        <v>Tipo A</v>
      </c>
      <c r="J98" s="39">
        <f>VLOOKUP(I98,E96:H100,4,FALSE)</f>
        <v>4.2</v>
      </c>
      <c r="K98" s="12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75" customHeight="1">
      <c r="A99" s="5"/>
      <c r="B99" s="45"/>
      <c r="C99" s="38"/>
      <c r="D99" s="52"/>
      <c r="E99" s="8" t="s">
        <v>211</v>
      </c>
      <c r="F99" s="59"/>
      <c r="G99" s="59" t="s">
        <v>220</v>
      </c>
      <c r="H99" s="59">
        <v>9.0</v>
      </c>
      <c r="I99" s="10"/>
      <c r="J99" s="39"/>
      <c r="K99" s="12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75" customHeight="1">
      <c r="A100" s="5"/>
      <c r="B100" s="45"/>
      <c r="C100" s="38"/>
      <c r="D100" s="57"/>
      <c r="E100" s="8" t="s">
        <v>214</v>
      </c>
      <c r="F100" s="59"/>
      <c r="G100" s="59" t="s">
        <v>224</v>
      </c>
      <c r="H100" s="59">
        <v>10.3</v>
      </c>
      <c r="I100" s="10"/>
      <c r="J100" s="10"/>
      <c r="K100" s="24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0" customHeight="1">
      <c r="A101" s="5"/>
      <c r="B101" s="45"/>
      <c r="C101" s="38"/>
      <c r="D101" s="42" t="s">
        <v>225</v>
      </c>
      <c r="E101" s="69"/>
      <c r="F101" s="37"/>
      <c r="G101" s="10"/>
      <c r="H101" s="10">
        <v>3.0</v>
      </c>
      <c r="I101" s="10"/>
      <c r="J101" s="10">
        <f>H101</f>
        <v>3</v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0" customHeight="1">
      <c r="A102" s="5"/>
      <c r="B102" s="45"/>
      <c r="C102" s="56"/>
      <c r="D102" s="42" t="s">
        <v>226</v>
      </c>
      <c r="E102" s="69"/>
      <c r="F102" s="37"/>
      <c r="G102" s="10"/>
      <c r="H102" s="10" t="s">
        <v>168</v>
      </c>
      <c r="I102" s="10">
        <f>((N10/3)*1.5)</f>
        <v>0</v>
      </c>
      <c r="J102" s="10">
        <f t="shared" ref="J102:J104" si="17">I102</f>
        <v>0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0" customHeight="1">
      <c r="A103" s="5"/>
      <c r="B103" s="45"/>
      <c r="C103" s="32" t="s">
        <v>227</v>
      </c>
      <c r="D103" s="42" t="s">
        <v>228</v>
      </c>
      <c r="E103" s="69"/>
      <c r="F103" s="37"/>
      <c r="G103" s="10"/>
      <c r="H103" s="10" t="s">
        <v>229</v>
      </c>
      <c r="I103" s="10">
        <f>1.5*SUM(G5:G6)</f>
        <v>0</v>
      </c>
      <c r="J103" s="10">
        <f t="shared" si="17"/>
        <v>0</v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0" customHeight="1">
      <c r="A104" s="5"/>
      <c r="B104" s="45"/>
      <c r="C104" s="38"/>
      <c r="D104" s="42" t="s">
        <v>230</v>
      </c>
      <c r="E104" s="69"/>
      <c r="F104" s="37"/>
      <c r="G104" s="10"/>
      <c r="H104" s="10" t="s">
        <v>231</v>
      </c>
      <c r="I104" s="10">
        <v>3.0</v>
      </c>
      <c r="J104" s="10">
        <f t="shared" si="17"/>
        <v>3</v>
      </c>
      <c r="K104" s="24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0" customHeight="1">
      <c r="A105" s="5"/>
      <c r="B105" s="45"/>
      <c r="C105" s="38"/>
      <c r="D105" s="42" t="s">
        <v>232</v>
      </c>
      <c r="E105" s="69"/>
      <c r="F105" s="37"/>
      <c r="G105" s="10"/>
      <c r="H105" s="10" t="s">
        <v>233</v>
      </c>
      <c r="I105" s="10"/>
      <c r="J105" s="10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0" customHeight="1">
      <c r="A106" s="5"/>
      <c r="B106" s="45"/>
      <c r="C106" s="38"/>
      <c r="D106" s="42" t="s">
        <v>234</v>
      </c>
      <c r="E106" s="69"/>
      <c r="F106" s="37"/>
      <c r="G106" s="10"/>
      <c r="H106" s="10" t="s">
        <v>168</v>
      </c>
      <c r="I106" s="10"/>
      <c r="J106" s="10"/>
      <c r="K106" s="24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0" customHeight="1">
      <c r="A107" s="5"/>
      <c r="B107" s="45"/>
      <c r="C107" s="38"/>
      <c r="D107" s="42" t="s">
        <v>235</v>
      </c>
      <c r="E107" s="69"/>
      <c r="F107" s="37"/>
      <c r="G107" s="10"/>
      <c r="H107" s="10" t="s">
        <v>168</v>
      </c>
      <c r="I107" s="10"/>
      <c r="J107" s="10"/>
      <c r="K107" s="24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0" customHeight="1">
      <c r="A108" s="5"/>
      <c r="B108" s="45"/>
      <c r="C108" s="38"/>
      <c r="D108" s="42" t="s">
        <v>236</v>
      </c>
      <c r="E108" s="69"/>
      <c r="F108" s="37"/>
      <c r="G108" s="10"/>
      <c r="H108" s="10" t="s">
        <v>237</v>
      </c>
      <c r="I108" s="10">
        <v>1.5</v>
      </c>
      <c r="J108" s="10">
        <f>I108</f>
        <v>1.5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0" customHeight="1">
      <c r="A109" s="5"/>
      <c r="B109" s="45"/>
      <c r="C109" s="56"/>
      <c r="D109" s="42" t="s">
        <v>238</v>
      </c>
      <c r="E109" s="69"/>
      <c r="F109" s="37"/>
      <c r="G109" s="10"/>
      <c r="H109" s="10" t="s">
        <v>168</v>
      </c>
      <c r="I109" s="10"/>
      <c r="J109" s="10"/>
      <c r="K109" s="24"/>
      <c r="L109" s="1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0" customHeight="1">
      <c r="A110" s="5"/>
      <c r="B110" s="45"/>
      <c r="C110" s="32" t="s">
        <v>239</v>
      </c>
      <c r="D110" s="34" t="s">
        <v>240</v>
      </c>
      <c r="E110" s="47"/>
      <c r="F110" s="47"/>
      <c r="G110" s="35"/>
      <c r="H110" s="35"/>
      <c r="I110" s="36"/>
      <c r="J110" s="51"/>
      <c r="K110" s="5"/>
      <c r="L110" s="1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0" customHeight="1">
      <c r="A111" s="5"/>
      <c r="B111" s="45"/>
      <c r="C111" s="38"/>
      <c r="D111" s="42" t="s">
        <v>241</v>
      </c>
      <c r="E111" s="69"/>
      <c r="F111" s="37"/>
      <c r="G111" s="10"/>
      <c r="H111" s="10"/>
      <c r="I111" s="10"/>
      <c r="J111" s="10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39.0" customHeight="1">
      <c r="A112" s="5"/>
      <c r="B112" s="45"/>
      <c r="C112" s="38"/>
      <c r="D112" s="42" t="s">
        <v>242</v>
      </c>
      <c r="E112" s="69"/>
      <c r="F112" s="37"/>
      <c r="G112" s="10">
        <f>IF(SUM(E12:E24)&lt;=6,1,IF(SUM(E12:E24)&lt;=20,2,IF(SUM(E12:E24)&lt;=60,3,IF(SUM(E12:E24)&lt;=150,4,"Fuera de rango"))))</f>
        <v>1</v>
      </c>
      <c r="H112" s="10" t="str">
        <f t="shared" ref="H112:I112" si="18">VLOOKUP(G112,R5:S11,2,FALSE)</f>
        <v>Mixto 1L, 1u, 1l</v>
      </c>
      <c r="I112" s="12" t="str">
        <f t="shared" si="18"/>
        <v>Mixto 1L, 1u, 1I
D: 1L, 1u,1I</v>
      </c>
      <c r="J112" s="10">
        <f>VLOOKUP(I112,T5:V11,3,FALSE)</f>
        <v>4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0" customHeight="1">
      <c r="A113" s="5"/>
      <c r="B113" s="45"/>
      <c r="C113" s="38"/>
      <c r="D113" s="42" t="s">
        <v>243</v>
      </c>
      <c r="E113" s="69"/>
      <c r="F113" s="37"/>
      <c r="G113" s="10"/>
      <c r="H113" s="10"/>
      <c r="I113" s="10"/>
      <c r="J113" s="10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0" customHeight="1">
      <c r="A114" s="5"/>
      <c r="B114" s="45"/>
      <c r="C114" s="38"/>
      <c r="D114" s="42" t="s">
        <v>244</v>
      </c>
      <c r="E114" s="69"/>
      <c r="F114" s="37"/>
      <c r="G114" s="10"/>
      <c r="H114" s="10"/>
      <c r="I114" s="10"/>
      <c r="J114" s="10"/>
      <c r="K114" s="24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0" customHeight="1">
      <c r="A115" s="5"/>
      <c r="B115" s="45"/>
      <c r="C115" s="38"/>
      <c r="D115" s="34" t="s">
        <v>245</v>
      </c>
      <c r="E115" s="47"/>
      <c r="F115" s="47"/>
      <c r="G115" s="35"/>
      <c r="H115" s="35"/>
      <c r="I115" s="36"/>
      <c r="J115" s="51"/>
      <c r="K115" s="24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0" customHeight="1">
      <c r="A116" s="5"/>
      <c r="B116" s="45"/>
      <c r="C116" s="38"/>
      <c r="D116" s="42" t="s">
        <v>246</v>
      </c>
      <c r="E116" s="69"/>
      <c r="F116" s="37"/>
      <c r="G116" s="10"/>
      <c r="H116" s="10" t="str">
        <f>S5</f>
        <v>Mixto 1L, 1u, 1l</v>
      </c>
      <c r="I116" s="12"/>
      <c r="J116" s="10">
        <f>VLOOKUP(H116,S5:V11,4,FALSE)</f>
        <v>4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0" customHeight="1">
      <c r="A117" s="5"/>
      <c r="B117" s="45"/>
      <c r="C117" s="38"/>
      <c r="D117" s="34" t="s">
        <v>247</v>
      </c>
      <c r="E117" s="47"/>
      <c r="F117" s="47"/>
      <c r="G117" s="35"/>
      <c r="H117" s="35"/>
      <c r="I117" s="36"/>
      <c r="J117" s="5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75" customHeight="1">
      <c r="A118" s="5"/>
      <c r="B118" s="45"/>
      <c r="C118" s="38"/>
      <c r="D118" s="48"/>
      <c r="E118" s="8" t="s">
        <v>69</v>
      </c>
      <c r="F118" s="50"/>
      <c r="G118" s="50"/>
      <c r="H118" s="50" t="str">
        <f>CONCATENATE("H: ", ROUNDUP(SUM(D5:D9)/2/30, 0), "L, ", ROUNDUP(SUM(D5:D9)/2/30, 0), "u, ", ROUNDUP(SUM(D5:D9)/2/30, 0), "I")</f>
        <v>H: 0L, 0u, 0I</v>
      </c>
      <c r="I118" s="10">
        <f>IFERROR(VLOOKUP(H118,S24:T30,2,FALSE),0)</f>
        <v>0</v>
      </c>
      <c r="J118" s="39">
        <f t="shared" ref="J118:J120" si="19">I118</f>
        <v>0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75" customHeight="1">
      <c r="A119" s="5"/>
      <c r="B119" s="45"/>
      <c r="C119" s="38"/>
      <c r="D119" s="52"/>
      <c r="E119" s="8" t="s">
        <v>71</v>
      </c>
      <c r="F119" s="37"/>
      <c r="G119" s="37"/>
      <c r="H119" s="37" t="str">
        <f>CONCATENATE("M: ", ROUNDUP(SUM(D5:D9)/2/30, 0), "L, ", ROUNDUP(SUM(D5:D9)/2/30, 0), "I")</f>
        <v>M: 0L, 0I</v>
      </c>
      <c r="I119" s="8">
        <f>IFERROR(VLOOKUP(H119,U24:V30,2,FALSE),0)</f>
        <v>0</v>
      </c>
      <c r="J119" s="39">
        <f t="shared" si="19"/>
        <v>0</v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0" customHeight="1">
      <c r="A120" s="5"/>
      <c r="B120" s="81"/>
      <c r="C120" s="56"/>
      <c r="D120" s="44"/>
      <c r="E120" s="8" t="s">
        <v>250</v>
      </c>
      <c r="F120" s="59"/>
      <c r="G120" s="59"/>
      <c r="H120" s="59">
        <f>IF(COUNTIF(D5:D9 ,"&lt;&gt;0")&gt;0,"D: 1L, 1u,1I",0)</f>
        <v>0</v>
      </c>
      <c r="I120" s="10">
        <f>IF(H120="D: 1L, 1u,1I",W24,0)</f>
        <v>0</v>
      </c>
      <c r="J120" s="10">
        <f t="shared" si="19"/>
        <v>0</v>
      </c>
      <c r="K120" s="62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0" customHeight="1">
      <c r="A121" s="5"/>
      <c r="B121" s="5"/>
      <c r="C121" s="5"/>
      <c r="D121" s="1"/>
      <c r="E121" s="1"/>
      <c r="F121" s="5"/>
      <c r="G121" s="5"/>
      <c r="H121" s="85"/>
      <c r="I121" s="5"/>
      <c r="J121" s="5"/>
      <c r="K121" s="86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0" customHeight="1">
      <c r="A122" s="5"/>
      <c r="B122" s="5"/>
      <c r="C122" s="5"/>
      <c r="D122" s="1"/>
      <c r="E122" s="1"/>
      <c r="F122" s="5"/>
      <c r="G122" s="5"/>
      <c r="H122" s="8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0" customHeight="1">
      <c r="A124" s="5"/>
      <c r="B124" s="5"/>
      <c r="C124" s="5"/>
      <c r="D124" s="87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40"/>
      <c r="L130" s="1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1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0" customHeight="1">
      <c r="A132" s="5"/>
      <c r="B132" s="5"/>
      <c r="C132" s="5"/>
      <c r="D132" s="87"/>
      <c r="E132" s="5"/>
      <c r="F132" s="5"/>
      <c r="G132" s="5"/>
      <c r="H132" s="5"/>
      <c r="I132" s="5"/>
      <c r="J132" s="5"/>
      <c r="K132" s="1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0" customHeight="1">
      <c r="A133" s="5"/>
      <c r="B133" s="5"/>
      <c r="C133" s="5"/>
      <c r="D133" s="5"/>
      <c r="E133" s="5"/>
      <c r="F133" s="5"/>
      <c r="G133" s="12"/>
      <c r="H133" s="12"/>
      <c r="I133" s="12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0" customHeight="1">
      <c r="A135" s="5"/>
      <c r="B135" s="5"/>
      <c r="C135" s="5"/>
      <c r="D135" s="87"/>
      <c r="E135" s="5"/>
      <c r="F135" s="5"/>
      <c r="G135" s="5"/>
      <c r="H135" s="5"/>
      <c r="I135" s="5"/>
      <c r="J135" s="5"/>
      <c r="K135" s="40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0" customHeight="1">
      <c r="A136" s="5"/>
      <c r="B136" s="5"/>
      <c r="C136" s="5"/>
      <c r="D136" s="87"/>
      <c r="E136" s="5"/>
      <c r="F136" s="5"/>
      <c r="G136" s="5"/>
      <c r="H136" s="5"/>
      <c r="I136" s="5"/>
      <c r="J136" s="5"/>
      <c r="K136" s="40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0" customHeight="1">
      <c r="A137" s="5"/>
      <c r="B137" s="5"/>
      <c r="C137" s="5"/>
      <c r="D137" s="87"/>
      <c r="E137" s="5"/>
      <c r="F137" s="5"/>
      <c r="G137" s="5"/>
      <c r="H137" s="5"/>
      <c r="I137" s="5"/>
      <c r="J137" s="5"/>
      <c r="K137" s="88"/>
      <c r="L137" s="2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0" customHeight="1">
      <c r="A138" s="5"/>
      <c r="B138" s="5"/>
      <c r="C138" s="5"/>
      <c r="D138" s="87"/>
      <c r="E138" s="5"/>
      <c r="F138" s="5"/>
      <c r="G138" s="5"/>
      <c r="H138" s="5"/>
      <c r="I138" s="5"/>
      <c r="J138" s="5"/>
      <c r="K138" s="27"/>
      <c r="L138" s="2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27"/>
      <c r="L139" s="2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88"/>
      <c r="L140" s="89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27"/>
      <c r="L141" s="2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0" customHeight="1">
      <c r="A142" s="5"/>
      <c r="B142" s="5"/>
      <c r="C142" s="5"/>
      <c r="D142" s="87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0" customHeight="1">
      <c r="A144" s="5"/>
      <c r="B144" s="5"/>
      <c r="C144" s="5"/>
      <c r="D144" s="87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0" customHeight="1">
      <c r="A145" s="5"/>
      <c r="B145" s="5"/>
      <c r="C145" s="5"/>
      <c r="D145" s="87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0" customHeight="1">
      <c r="A146" s="5"/>
      <c r="B146" s="5"/>
      <c r="C146" s="5"/>
      <c r="D146" s="87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0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0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0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0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0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0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0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0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0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0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0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0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0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0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0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0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0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0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2.0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2.0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2.0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2.0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2.0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2.0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2.0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2.0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2.0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2.0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2.0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2.0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2.0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2.0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2.0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2.0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2.0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2.0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2.0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2.0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2.0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2.0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2.0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2.0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2.0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2.0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2.0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2.0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2.0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2.0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2.0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2.0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2.0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2.0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2.0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2.0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2.0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2.0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2.0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2.0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2.0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2.0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2.0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2.0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2.0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2.0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2.0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2.0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2.0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2.0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2.0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2.0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2.0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2.0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2.0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2.0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2.0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2.0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2.0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2.0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2.0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2.0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2.0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2.0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2.0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2.0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2.0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2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C52:C68"/>
    <mergeCell ref="C69:C71"/>
    <mergeCell ref="G90:G91"/>
    <mergeCell ref="C72:C78"/>
    <mergeCell ref="C79:C80"/>
    <mergeCell ref="B81:B120"/>
    <mergeCell ref="C81:C86"/>
    <mergeCell ref="C87:C102"/>
    <mergeCell ref="C103:C109"/>
    <mergeCell ref="C110:C120"/>
    <mergeCell ref="R4:S4"/>
    <mergeCell ref="R22:S22"/>
    <mergeCell ref="B31:C31"/>
    <mergeCell ref="D31:F31"/>
    <mergeCell ref="B32:B80"/>
    <mergeCell ref="C32:C38"/>
    <mergeCell ref="C39:C51"/>
  </mergeCells>
  <dataValidations>
    <dataValidation type="list" allowBlank="1" showErrorMessage="1" sqref="N5">
      <formula1>"Un turno,Ambos turnos"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2" width="13.29"/>
    <col customWidth="1" min="3" max="3" width="22.29"/>
    <col customWidth="1" min="4" max="6" width="15.29"/>
    <col customWidth="1" min="7" max="8" width="13.29"/>
    <col customWidth="1" min="9" max="9" width="63.86"/>
    <col customWidth="1" min="10" max="26" width="13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3" t="s">
        <v>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2" t="s">
        <v>8</v>
      </c>
      <c r="D4" s="1"/>
      <c r="E4" s="1"/>
      <c r="F4" s="1"/>
      <c r="G4" s="1"/>
      <c r="H4" s="1"/>
      <c r="I4" s="3" t="s">
        <v>14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"/>
      <c r="C5" s="2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"/>
      <c r="C6" s="15" t="s">
        <v>21</v>
      </c>
      <c r="D6" s="15" t="s">
        <v>23</v>
      </c>
      <c r="E6" s="15" t="s">
        <v>25</v>
      </c>
      <c r="F6" s="15" t="s">
        <v>26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"/>
      <c r="C7" s="16" t="s">
        <v>29</v>
      </c>
      <c r="D7" s="10">
        <f>INICIAL!J22</f>
        <v>0</v>
      </c>
      <c r="E7" s="10">
        <f>INICIAL!G5</f>
        <v>0</v>
      </c>
      <c r="F7" s="10">
        <f t="shared" ref="F7:F40" si="1">IFERROR(D7/E7, 0)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 t="s">
        <v>39</v>
      </c>
      <c r="C8" s="16" t="s">
        <v>40</v>
      </c>
      <c r="D8" s="10">
        <f>IFERROR(INICIAL!J23,0)</f>
        <v>0</v>
      </c>
      <c r="E8" s="10">
        <f>IFERROR(INICIAL!G6,0)</f>
        <v>0</v>
      </c>
      <c r="F8" s="10">
        <f t="shared" si="1"/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"/>
      <c r="C9" s="20" t="s">
        <v>46</v>
      </c>
      <c r="D9" s="10">
        <f>IFERROR(INICIAL!J27,0)</f>
        <v>0</v>
      </c>
      <c r="E9" s="10">
        <f>D9/INICIAL!I28</f>
        <v>0</v>
      </c>
      <c r="F9" s="10">
        <f t="shared" si="1"/>
        <v>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"/>
      <c r="C10" s="16" t="s">
        <v>52</v>
      </c>
      <c r="D10" s="10">
        <f>SUM(PRIM!J29:J34)</f>
        <v>240</v>
      </c>
      <c r="E10" s="10">
        <f>SUM(PRIM!G5:G10)</f>
        <v>6</v>
      </c>
      <c r="F10" s="10">
        <f t="shared" si="1"/>
        <v>40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"/>
      <c r="C11" s="16" t="s">
        <v>55</v>
      </c>
      <c r="D11" s="10">
        <f>SUM(SEC!J34:J38)</f>
        <v>0</v>
      </c>
      <c r="E11" s="10">
        <f>SUM(SEC!G5:G9)</f>
        <v>0</v>
      </c>
      <c r="F11" s="10">
        <f t="shared" si="1"/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6" t="s">
        <v>57</v>
      </c>
      <c r="D12" s="10">
        <f>SEC!J41</f>
        <v>93.75</v>
      </c>
      <c r="E12" s="10">
        <v>1.0</v>
      </c>
      <c r="F12" s="10">
        <f t="shared" si="1"/>
        <v>93.75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"/>
      <c r="C13" s="16" t="s">
        <v>60</v>
      </c>
      <c r="D13" s="10">
        <f>PRIM!J42</f>
        <v>90</v>
      </c>
      <c r="E13" s="10">
        <f t="shared" ref="E13:E16" si="2">D13/90</f>
        <v>1</v>
      </c>
      <c r="F13" s="10">
        <f t="shared" si="1"/>
        <v>90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"/>
      <c r="C14" s="16" t="s">
        <v>63</v>
      </c>
      <c r="D14" s="10">
        <f>SEC!J47</f>
        <v>90</v>
      </c>
      <c r="E14" s="10">
        <f t="shared" si="2"/>
        <v>1</v>
      </c>
      <c r="F14" s="10">
        <f t="shared" si="1"/>
        <v>90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"/>
      <c r="C15" s="16" t="s">
        <v>65</v>
      </c>
      <c r="D15" s="10">
        <f>PRIM!J48</f>
        <v>90</v>
      </c>
      <c r="E15" s="10">
        <f t="shared" si="2"/>
        <v>1</v>
      </c>
      <c r="F15" s="10">
        <f t="shared" si="1"/>
        <v>90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6" t="s">
        <v>67</v>
      </c>
      <c r="D16" s="10">
        <f>SEC!J55</f>
        <v>90</v>
      </c>
      <c r="E16" s="10">
        <f t="shared" si="2"/>
        <v>1</v>
      </c>
      <c r="F16" s="10">
        <f t="shared" si="1"/>
        <v>90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6" t="s">
        <v>74</v>
      </c>
      <c r="D17" s="10">
        <f>SEC!J62</f>
        <v>90</v>
      </c>
      <c r="E17" s="10">
        <f>D17/SEC!I60</f>
        <v>1</v>
      </c>
      <c r="F17" s="10">
        <f t="shared" si="1"/>
        <v>90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6" t="s">
        <v>79</v>
      </c>
      <c r="D18" s="10">
        <f>SEC!J67</f>
        <v>90</v>
      </c>
      <c r="E18" s="10">
        <f>D18/SEC!J67</f>
        <v>1</v>
      </c>
      <c r="F18" s="10">
        <f t="shared" si="1"/>
        <v>90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6" t="s">
        <v>83</v>
      </c>
      <c r="D19" s="10">
        <f>MAX(INICIAL!J32,PRIM!J51,SEC!J70)+MAX(INICIAL!J33,PRIM!J52,SEC!J71)</f>
        <v>172.5</v>
      </c>
      <c r="E19" s="10">
        <v>1.0</v>
      </c>
      <c r="F19" s="10">
        <f t="shared" si="1"/>
        <v>172.5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6" t="s">
        <v>87</v>
      </c>
      <c r="D20" s="10">
        <f>IFERROR(INICIAL!J42+PRIM!J63+SEC!J82,0)</f>
        <v>6.5</v>
      </c>
      <c r="E20" s="10">
        <v>1.0</v>
      </c>
      <c r="F20" s="10">
        <f t="shared" si="1"/>
        <v>6.5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"/>
      <c r="C21" s="16" t="s">
        <v>92</v>
      </c>
      <c r="D21" s="10">
        <f>INICIAL!J41*3</f>
        <v>15</v>
      </c>
      <c r="E21" s="10">
        <v>1.0</v>
      </c>
      <c r="F21" s="10">
        <f t="shared" si="1"/>
        <v>15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"/>
      <c r="C22" s="16" t="s">
        <v>97</v>
      </c>
      <c r="D22" s="10">
        <f>IFERROR(INICIAL!J43+PRIM!J64+SEC!J83,0)</f>
        <v>36</v>
      </c>
      <c r="E22" s="10">
        <v>1.0</v>
      </c>
      <c r="F22" s="10">
        <f t="shared" si="1"/>
        <v>36</v>
      </c>
      <c r="G22" s="1"/>
      <c r="H22" s="1"/>
      <c r="I22" s="5"/>
      <c r="J22" s="5"/>
      <c r="K22" s="5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"/>
      <c r="C23" s="16" t="s">
        <v>108</v>
      </c>
      <c r="D23" s="10">
        <f>IFERROR(INICIAL!J44+SUM(PRIM!J66:J67)+SUM(SEC!J85:J86),0)</f>
        <v>19</v>
      </c>
      <c r="E23" s="10">
        <v>1.0</v>
      </c>
      <c r="F23" s="10">
        <f t="shared" si="1"/>
        <v>19</v>
      </c>
      <c r="G23" s="1"/>
      <c r="H23" s="1"/>
      <c r="I23" s="5"/>
      <c r="J23" s="5"/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1"/>
      <c r="C24" s="20" t="s">
        <v>112</v>
      </c>
      <c r="D24" s="10">
        <f>IFERROR((INICIAL!J70+PRIM!J93+SEC!J112)/2,0)</f>
        <v>9.75</v>
      </c>
      <c r="E24" s="10">
        <v>1.0</v>
      </c>
      <c r="F24" s="10">
        <f t="shared" si="1"/>
        <v>9.75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"/>
      <c r="C25" s="20" t="s">
        <v>115</v>
      </c>
      <c r="D25" s="10">
        <f>IFERROR((INICIAL!J70+PRIM!J93+SEC!J112)/2,0)</f>
        <v>9.75</v>
      </c>
      <c r="E25" s="10">
        <v>1.0</v>
      </c>
      <c r="F25" s="10">
        <f t="shared" si="1"/>
        <v>9.75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"/>
      <c r="C26" s="16" t="s">
        <v>119</v>
      </c>
      <c r="D26" s="10">
        <f>PRIM!J73+SEC!J92+PRIM!J79+SEC!J98 +PRIM!J97+SEC!J116</f>
        <v>36.4</v>
      </c>
      <c r="E26" s="10">
        <v>1.0</v>
      </c>
      <c r="F26" s="10">
        <f t="shared" si="1"/>
        <v>36.4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"/>
      <c r="C27" s="16" t="s">
        <v>123</v>
      </c>
      <c r="D27" s="10">
        <f>INICIAL!J50+INICIAL!J56+INICIAL!J74</f>
        <v>18.2</v>
      </c>
      <c r="E27" s="10">
        <v>1.0</v>
      </c>
      <c r="F27" s="10">
        <f t="shared" si="1"/>
        <v>18.2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"/>
      <c r="C28" s="20" t="s">
        <v>126</v>
      </c>
      <c r="D28" s="10">
        <f>IFERROR(INICIAL!J76+INICIAL!J78,0)</f>
        <v>0</v>
      </c>
      <c r="E28" s="10">
        <v>1.0</v>
      </c>
      <c r="F28" s="10">
        <f t="shared" si="1"/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1"/>
      <c r="C29" s="20" t="s">
        <v>128</v>
      </c>
      <c r="D29" s="10">
        <f>IFERROR(INICIAL!J77+INICIAL!J78,0)</f>
        <v>0</v>
      </c>
      <c r="E29" s="55">
        <v>1.0</v>
      </c>
      <c r="F29" s="10">
        <f t="shared" si="1"/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1"/>
      <c r="C30" s="20" t="s">
        <v>132</v>
      </c>
      <c r="D30" s="10">
        <f>PRIM!J99+PRIM!J101</f>
        <v>12.5</v>
      </c>
      <c r="E30" s="10">
        <v>1.0</v>
      </c>
      <c r="F30" s="10">
        <f t="shared" si="1"/>
        <v>12.5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1"/>
      <c r="C31" s="20" t="s">
        <v>136</v>
      </c>
      <c r="D31" s="10">
        <f>PRIM!J100+PRIM!J101</f>
        <v>13</v>
      </c>
      <c r="E31" s="55">
        <v>1.0</v>
      </c>
      <c r="F31" s="10">
        <f t="shared" si="1"/>
        <v>13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1"/>
      <c r="C32" s="20" t="s">
        <v>139</v>
      </c>
      <c r="D32" s="10">
        <f>SEC!J118+SEC!J120</f>
        <v>0</v>
      </c>
      <c r="E32" s="10">
        <v>1.0</v>
      </c>
      <c r="F32" s="10">
        <f t="shared" si="1"/>
        <v>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1"/>
      <c r="C33" s="20" t="s">
        <v>141</v>
      </c>
      <c r="D33" s="10">
        <f>SEC!J119+SEC!J120</f>
        <v>0</v>
      </c>
      <c r="E33" s="55">
        <v>1.0</v>
      </c>
      <c r="F33" s="10">
        <f t="shared" si="1"/>
        <v>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"/>
      <c r="C34" s="61" t="s">
        <v>145</v>
      </c>
      <c r="D34" s="55">
        <v>420.0</v>
      </c>
      <c r="E34" s="10">
        <v>1.0</v>
      </c>
      <c r="F34" s="10">
        <f t="shared" si="1"/>
        <v>420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"/>
      <c r="C35" s="61" t="s">
        <v>150</v>
      </c>
      <c r="D35" s="10">
        <f>SEC!J87*3</f>
        <v>27</v>
      </c>
      <c r="E35" s="10">
        <v>1.0</v>
      </c>
      <c r="F35" s="10">
        <f t="shared" si="1"/>
        <v>27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"/>
      <c r="C36" s="61" t="s">
        <v>154</v>
      </c>
      <c r="D36" s="10">
        <f>SEC!J88*3</f>
        <v>22.5</v>
      </c>
      <c r="E36" s="10">
        <v>1.0</v>
      </c>
      <c r="F36" s="10">
        <f t="shared" si="1"/>
        <v>22.5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/>
      <c r="B37" s="1"/>
      <c r="C37" s="61" t="s">
        <v>158</v>
      </c>
      <c r="D37" s="55">
        <v>8.64</v>
      </c>
      <c r="E37" s="55">
        <v>1.0</v>
      </c>
      <c r="F37" s="10">
        <f t="shared" si="1"/>
        <v>8.64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/>
      <c r="B38" s="1"/>
      <c r="C38" s="61" t="s">
        <v>160</v>
      </c>
      <c r="D38" s="55">
        <v>8.64</v>
      </c>
      <c r="E38" s="55">
        <v>1.0</v>
      </c>
      <c r="F38" s="10">
        <f t="shared" si="1"/>
        <v>8.64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/>
      <c r="B39" s="1"/>
      <c r="C39" s="67" t="s">
        <v>164</v>
      </c>
      <c r="D39" s="10">
        <v>150.0</v>
      </c>
      <c r="E39" s="10">
        <v>1.0</v>
      </c>
      <c r="F39" s="10">
        <f t="shared" si="1"/>
        <v>150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"/>
      <c r="B40" s="1"/>
      <c r="C40" s="61" t="s">
        <v>165</v>
      </c>
      <c r="D40" s="10">
        <v>18.0</v>
      </c>
      <c r="E40" s="10">
        <v>1.0</v>
      </c>
      <c r="F40" s="10">
        <f t="shared" si="1"/>
        <v>18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68" t="s">
        <v>169</v>
      </c>
      <c r="D41" s="35"/>
      <c r="E41" s="37"/>
      <c r="F41" s="15">
        <f>SUM(D7:D40)</f>
        <v>1877.13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/>
      <c r="B45" s="1"/>
      <c r="C45" s="1"/>
      <c r="D45" s="1"/>
      <c r="E45" s="1"/>
      <c r="F45" s="1"/>
      <c r="G45" s="1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dataValidations>
    <dataValidation type="list" allowBlank="1" showErrorMessage="1" sqref="I4">
      <formula1>"LIMA METROPOLITANA Y PROVINCIA CONSTITUCIONAL DEL CALLAO,COSTA (EXCEPTO LIMA METROPOLITANA Y CALLAO),SELVA,SIERRA"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6.14"/>
    <col customWidth="1" min="3" max="3" width="8.57"/>
    <col customWidth="1" min="4" max="4" width="7.57"/>
    <col customWidth="1" min="5" max="5" width="6.57"/>
    <col customWidth="1" min="6" max="6" width="12.43"/>
    <col customWidth="1" min="7" max="7" width="7.57"/>
    <col customWidth="1" min="8" max="8" width="8.43"/>
    <col customWidth="1" min="9" max="9" width="17.29"/>
    <col customWidth="1" min="10" max="10" width="68.86"/>
    <col customWidth="1" min="11" max="12" width="17.29"/>
    <col customWidth="1" min="13" max="26" width="13.29"/>
  </cols>
  <sheetData>
    <row r="1" ht="15.0" customHeight="1">
      <c r="A1" s="15" t="s">
        <v>21</v>
      </c>
      <c r="B1" s="15" t="s">
        <v>23</v>
      </c>
      <c r="C1" s="15" t="s">
        <v>25</v>
      </c>
      <c r="D1" s="15" t="s">
        <v>26</v>
      </c>
      <c r="E1" s="15" t="s">
        <v>251</v>
      </c>
      <c r="F1" s="15" t="s">
        <v>252</v>
      </c>
      <c r="G1" s="15" t="s">
        <v>253</v>
      </c>
      <c r="H1" s="15" t="s">
        <v>254</v>
      </c>
      <c r="I1" s="15" t="s">
        <v>255</v>
      </c>
      <c r="J1" s="15"/>
      <c r="K1" s="15"/>
      <c r="L1" s="1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90" t="s">
        <v>55</v>
      </c>
      <c r="B2" s="91">
        <f>VLOOKUP(A2,UNIFICADO!$C$7:$F$40,2,FALSE)</f>
        <v>0</v>
      </c>
      <c r="C2" s="91">
        <f>VLOOKUP(A2,UNIFICADO!$C$7:$F$40,3,FALSE)</f>
        <v>0</v>
      </c>
      <c r="D2" s="91">
        <f>VLOOKUP(A2,UNIFICADO!$C$7:$F$40,4,FALSE)</f>
        <v>0</v>
      </c>
      <c r="E2" s="91">
        <v>7.5</v>
      </c>
      <c r="F2" s="91">
        <f t="shared" ref="F2:F5" si="1">D2/E2</f>
        <v>0</v>
      </c>
      <c r="G2" s="91" t="s">
        <v>256</v>
      </c>
      <c r="H2" s="91" t="s">
        <v>257</v>
      </c>
      <c r="I2" s="91" t="s">
        <v>258</v>
      </c>
      <c r="J2" s="91" t="s">
        <v>259</v>
      </c>
      <c r="K2" s="91"/>
      <c r="L2" s="9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90" t="s">
        <v>63</v>
      </c>
      <c r="B3" s="91">
        <f>VLOOKUP(A3,UNIFICADO!$C$7:$F$40,2,FALSE)</f>
        <v>90</v>
      </c>
      <c r="C3" s="91">
        <f>VLOOKUP(A3,UNIFICADO!$C$7:$F$40,3,FALSE)</f>
        <v>1</v>
      </c>
      <c r="D3" s="91">
        <f>VLOOKUP(A3,UNIFICADO!$C$7:$F$40,4,FALSE)</f>
        <v>90</v>
      </c>
      <c r="E3" s="91">
        <v>7.5</v>
      </c>
      <c r="F3" s="91">
        <f t="shared" si="1"/>
        <v>12</v>
      </c>
      <c r="G3" s="91" t="s">
        <v>256</v>
      </c>
      <c r="H3" s="91" t="s">
        <v>257</v>
      </c>
      <c r="I3" s="91" t="s">
        <v>258</v>
      </c>
      <c r="J3" s="91" t="s">
        <v>260</v>
      </c>
      <c r="K3" s="91"/>
      <c r="L3" s="9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90" t="s">
        <v>67</v>
      </c>
      <c r="B4" s="91">
        <f>VLOOKUP(A4,UNIFICADO!$C$7:$F$40,2,FALSE)</f>
        <v>90</v>
      </c>
      <c r="C4" s="91">
        <f>VLOOKUP(A4,UNIFICADO!$C$7:$F$40,3,FALSE)</f>
        <v>1</v>
      </c>
      <c r="D4" s="91">
        <f>VLOOKUP(A4,UNIFICADO!$C$7:$F$40,4,FALSE)</f>
        <v>90</v>
      </c>
      <c r="E4" s="91">
        <v>7.5</v>
      </c>
      <c r="F4" s="91">
        <f t="shared" si="1"/>
        <v>12</v>
      </c>
      <c r="G4" s="91" t="s">
        <v>256</v>
      </c>
      <c r="H4" s="91" t="s">
        <v>257</v>
      </c>
      <c r="I4" s="91" t="s">
        <v>258</v>
      </c>
      <c r="J4" s="91" t="s">
        <v>260</v>
      </c>
      <c r="K4" s="91"/>
      <c r="L4" s="9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90" t="s">
        <v>79</v>
      </c>
      <c r="B5" s="91">
        <f>VLOOKUP(A5,UNIFICADO!$C$7:$F$40,2,FALSE)</f>
        <v>90</v>
      </c>
      <c r="C5" s="91">
        <f>VLOOKUP(A5,UNIFICADO!$C$7:$F$40,3,FALSE)</f>
        <v>1</v>
      </c>
      <c r="D5" s="91">
        <f>VLOOKUP(A5,UNIFICADO!$C$7:$F$40,4,FALSE)</f>
        <v>90</v>
      </c>
      <c r="E5" s="91">
        <v>7.5</v>
      </c>
      <c r="F5" s="91">
        <f t="shared" si="1"/>
        <v>12</v>
      </c>
      <c r="G5" s="91" t="s">
        <v>256</v>
      </c>
      <c r="H5" s="91" t="s">
        <v>257</v>
      </c>
      <c r="I5" s="91">
        <v>1.0</v>
      </c>
      <c r="J5" s="91" t="s">
        <v>261</v>
      </c>
      <c r="K5" s="91"/>
      <c r="L5" s="9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90" t="s">
        <v>160</v>
      </c>
      <c r="B6" s="91">
        <f>VLOOKUP(A6,UNIFICADO!$C$7:$F$40,2,FALSE)</f>
        <v>8.64</v>
      </c>
      <c r="C6" s="91">
        <f>VLOOKUP(A6,UNIFICADO!$C$7:$F$40,3,FALSE)</f>
        <v>1</v>
      </c>
      <c r="D6" s="91">
        <f>VLOOKUP(A6,UNIFICADO!$C$7:$F$40,4,FALSE)</f>
        <v>8.64</v>
      </c>
      <c r="E6" s="91">
        <v>7.5</v>
      </c>
      <c r="F6" s="91">
        <v>2.5</v>
      </c>
      <c r="G6" s="91" t="s">
        <v>256</v>
      </c>
      <c r="H6" s="91" t="s">
        <v>257</v>
      </c>
      <c r="I6" s="92" t="s">
        <v>258</v>
      </c>
      <c r="J6" s="92" t="s">
        <v>262</v>
      </c>
      <c r="K6" s="92"/>
      <c r="L6" s="9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93" t="s">
        <v>139</v>
      </c>
      <c r="B7" s="91">
        <f>VLOOKUP(A7,UNIFICADO!$C$7:$F$40,2,FALSE)</f>
        <v>0</v>
      </c>
      <c r="C7" s="91">
        <f>VLOOKUP(A7,UNIFICADO!$C$7:$F$40,3,FALSE)</f>
        <v>1</v>
      </c>
      <c r="D7" s="91">
        <f>VLOOKUP(A7,UNIFICADO!$C$7:$F$40,4,FALSE)</f>
        <v>0</v>
      </c>
      <c r="E7" s="91">
        <v>7.5</v>
      </c>
      <c r="F7" s="94">
        <f t="shared" ref="F7:F8" si="2">IF(D7/E7&lt;2,2,D7/E7)</f>
        <v>2</v>
      </c>
      <c r="G7" s="91" t="s">
        <v>263</v>
      </c>
      <c r="H7" s="91" t="s">
        <v>257</v>
      </c>
      <c r="I7" s="91"/>
      <c r="J7" s="91"/>
      <c r="K7" s="91"/>
      <c r="L7" s="9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93" t="s">
        <v>141</v>
      </c>
      <c r="B8" s="91">
        <f>VLOOKUP(A8,UNIFICADO!$C$7:$F$40,2,FALSE)</f>
        <v>0</v>
      </c>
      <c r="C8" s="91">
        <f>VLOOKUP(A8,UNIFICADO!$C$7:$F$40,3,FALSE)</f>
        <v>1</v>
      </c>
      <c r="D8" s="91">
        <f>VLOOKUP(A8,UNIFICADO!$C$7:$F$40,4,FALSE)</f>
        <v>0</v>
      </c>
      <c r="E8" s="91">
        <v>7.5</v>
      </c>
      <c r="F8" s="94">
        <f t="shared" si="2"/>
        <v>2</v>
      </c>
      <c r="G8" s="91" t="s">
        <v>263</v>
      </c>
      <c r="H8" s="91" t="s">
        <v>257</v>
      </c>
      <c r="I8" s="91">
        <v>1.0</v>
      </c>
      <c r="J8" s="91" t="s">
        <v>264</v>
      </c>
      <c r="K8" s="91"/>
      <c r="L8" s="9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95" t="s">
        <v>52</v>
      </c>
      <c r="B9" s="96">
        <f>VLOOKUP(A9,UNIFICADO!$C$7:$F$40,2,FALSE)</f>
        <v>240</v>
      </c>
      <c r="C9" s="96">
        <f>VLOOKUP(A9,UNIFICADO!$C$7:$F$40,3,FALSE)</f>
        <v>6</v>
      </c>
      <c r="D9" s="96">
        <f>VLOOKUP(A9,UNIFICADO!$C$7:$F$40,4,FALSE)</f>
        <v>40</v>
      </c>
      <c r="E9" s="96">
        <v>7.5</v>
      </c>
      <c r="F9" s="96">
        <f t="shared" ref="F9:F12" si="3">D9/E9</f>
        <v>5.333333333</v>
      </c>
      <c r="G9" s="96" t="s">
        <v>256</v>
      </c>
      <c r="H9" s="96" t="s">
        <v>265</v>
      </c>
      <c r="I9" s="96" t="s">
        <v>258</v>
      </c>
      <c r="J9" s="96" t="s">
        <v>259</v>
      </c>
      <c r="K9" s="96"/>
      <c r="L9" s="96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95" t="s">
        <v>57</v>
      </c>
      <c r="B10" s="96">
        <f>VLOOKUP(A10,UNIFICADO!$C$7:$F$40,2,FALSE)</f>
        <v>93.75</v>
      </c>
      <c r="C10" s="96">
        <f>VLOOKUP(A10,UNIFICADO!$C$7:$F$40,3,FALSE)</f>
        <v>1</v>
      </c>
      <c r="D10" s="96">
        <f>VLOOKUP(A10,UNIFICADO!$C$7:$F$40,4,FALSE)</f>
        <v>93.75</v>
      </c>
      <c r="E10" s="96">
        <v>7.5</v>
      </c>
      <c r="F10" s="97">
        <f t="shared" si="3"/>
        <v>12.5</v>
      </c>
      <c r="G10" s="97" t="s">
        <v>256</v>
      </c>
      <c r="H10" s="96" t="s">
        <v>265</v>
      </c>
      <c r="I10" s="96">
        <v>1.0</v>
      </c>
      <c r="J10" s="96" t="s">
        <v>261</v>
      </c>
      <c r="K10" s="96"/>
      <c r="L10" s="96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95" t="s">
        <v>60</v>
      </c>
      <c r="B11" s="96">
        <f>VLOOKUP(A11,UNIFICADO!$C$7:$F$40,2,FALSE)</f>
        <v>90</v>
      </c>
      <c r="C11" s="96">
        <f>VLOOKUP(A11,UNIFICADO!$C$7:$F$40,3,FALSE)</f>
        <v>1</v>
      </c>
      <c r="D11" s="96">
        <f>VLOOKUP(A11,UNIFICADO!$C$7:$F$40,4,FALSE)</f>
        <v>90</v>
      </c>
      <c r="E11" s="96">
        <v>7.5</v>
      </c>
      <c r="F11" s="96">
        <f t="shared" si="3"/>
        <v>12</v>
      </c>
      <c r="G11" s="96" t="s">
        <v>256</v>
      </c>
      <c r="H11" s="96" t="s">
        <v>265</v>
      </c>
      <c r="I11" s="96" t="s">
        <v>258</v>
      </c>
      <c r="J11" s="96" t="s">
        <v>260</v>
      </c>
      <c r="K11" s="96"/>
      <c r="L11" s="9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95" t="s">
        <v>65</v>
      </c>
      <c r="B12" s="96">
        <f>VLOOKUP(A12,UNIFICADO!$C$7:$F$40,2,FALSE)</f>
        <v>90</v>
      </c>
      <c r="C12" s="96">
        <f>VLOOKUP(A12,UNIFICADO!$C$7:$F$40,3,FALSE)</f>
        <v>1</v>
      </c>
      <c r="D12" s="96">
        <f>VLOOKUP(A12,UNIFICADO!$C$7:$F$40,4,FALSE)</f>
        <v>90</v>
      </c>
      <c r="E12" s="96">
        <v>7.5</v>
      </c>
      <c r="F12" s="96">
        <f t="shared" si="3"/>
        <v>12</v>
      </c>
      <c r="G12" s="96" t="s">
        <v>256</v>
      </c>
      <c r="H12" s="96" t="s">
        <v>265</v>
      </c>
      <c r="I12" s="96" t="s">
        <v>258</v>
      </c>
      <c r="J12" s="96" t="s">
        <v>260</v>
      </c>
      <c r="K12" s="96"/>
      <c r="L12" s="96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95" t="s">
        <v>158</v>
      </c>
      <c r="B13" s="96">
        <f>VLOOKUP(A13,UNIFICADO!$C$7:$F$40,2,FALSE)</f>
        <v>8.64</v>
      </c>
      <c r="C13" s="96">
        <f>VLOOKUP(A13,UNIFICADO!$C$7:$F$40,3,FALSE)</f>
        <v>1</v>
      </c>
      <c r="D13" s="96">
        <f>VLOOKUP(A13,UNIFICADO!$C$7:$F$40,4,FALSE)</f>
        <v>8.64</v>
      </c>
      <c r="E13" s="96">
        <v>7.5</v>
      </c>
      <c r="F13" s="96">
        <v>2.5</v>
      </c>
      <c r="G13" s="96" t="s">
        <v>256</v>
      </c>
      <c r="H13" s="96" t="s">
        <v>265</v>
      </c>
      <c r="I13" s="96" t="s">
        <v>258</v>
      </c>
      <c r="J13" s="96" t="s">
        <v>262</v>
      </c>
      <c r="K13" s="96"/>
      <c r="L13" s="9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98" t="s">
        <v>132</v>
      </c>
      <c r="B14" s="96">
        <f>VLOOKUP(A14,UNIFICADO!$C$7:$F$40,2,FALSE)</f>
        <v>12.5</v>
      </c>
      <c r="C14" s="96">
        <f>VLOOKUP(A14,UNIFICADO!$C$7:$F$40,3,FALSE)</f>
        <v>1</v>
      </c>
      <c r="D14" s="96">
        <f>VLOOKUP(A14,UNIFICADO!$C$7:$F$40,4,FALSE)</f>
        <v>12.5</v>
      </c>
      <c r="E14" s="96">
        <v>7.5</v>
      </c>
      <c r="F14" s="97">
        <f t="shared" ref="F14:F15" si="4">IF(D14/E14&lt;2,2,D14/E14)</f>
        <v>2</v>
      </c>
      <c r="G14" s="96" t="s">
        <v>263</v>
      </c>
      <c r="H14" s="96" t="s">
        <v>265</v>
      </c>
      <c r="I14" s="96"/>
      <c r="J14" s="96"/>
      <c r="K14" s="96"/>
      <c r="L14" s="9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98" t="s">
        <v>136</v>
      </c>
      <c r="B15" s="96">
        <f>VLOOKUP(A15,UNIFICADO!$C$7:$F$40,2,FALSE)</f>
        <v>13</v>
      </c>
      <c r="C15" s="96">
        <f>VLOOKUP(A15,UNIFICADO!$C$7:$F$40,3,FALSE)</f>
        <v>1</v>
      </c>
      <c r="D15" s="96">
        <f>VLOOKUP(A15,UNIFICADO!$C$7:$F$40,4,FALSE)</f>
        <v>13</v>
      </c>
      <c r="E15" s="96">
        <v>7.5</v>
      </c>
      <c r="F15" s="97">
        <f t="shared" si="4"/>
        <v>2</v>
      </c>
      <c r="G15" s="96" t="s">
        <v>263</v>
      </c>
      <c r="H15" s="96" t="s">
        <v>265</v>
      </c>
      <c r="I15" s="96">
        <v>1.0</v>
      </c>
      <c r="J15" s="96" t="s">
        <v>264</v>
      </c>
      <c r="K15" s="96"/>
      <c r="L15" s="96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6.25" customHeight="1">
      <c r="A16" s="99" t="s">
        <v>29</v>
      </c>
      <c r="B16" s="100">
        <f>VLOOKUP(A16,UNIFICADO!$C$7:$F$40,2,FALSE)</f>
        <v>0</v>
      </c>
      <c r="C16" s="100">
        <f>VLOOKUP(A16,UNIFICADO!$C$7:$F$40,3,FALSE)</f>
        <v>0</v>
      </c>
      <c r="D16" s="100">
        <f>VLOOKUP(A16,UNIFICADO!$C$7:$F$40,4,FALSE)</f>
        <v>0</v>
      </c>
      <c r="E16" s="101">
        <v>7.5</v>
      </c>
      <c r="F16" s="101">
        <f t="shared" ref="F16:F20" si="5">D16/E16</f>
        <v>0</v>
      </c>
      <c r="G16" s="100" t="s">
        <v>256</v>
      </c>
      <c r="H16" s="100" t="s">
        <v>266</v>
      </c>
      <c r="I16" s="100">
        <v>1.0</v>
      </c>
      <c r="J16" s="102" t="s">
        <v>267</v>
      </c>
      <c r="K16" s="100"/>
      <c r="L16" s="100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99" t="s">
        <v>40</v>
      </c>
      <c r="B17" s="100">
        <f>VLOOKUP(A17,UNIFICADO!$C$7:$F$40,2,FALSE)</f>
        <v>0</v>
      </c>
      <c r="C17" s="100">
        <f>VLOOKUP(A17,UNIFICADO!$C$7:$F$40,3,FALSE)</f>
        <v>0</v>
      </c>
      <c r="D17" s="100">
        <f>VLOOKUP(A17,UNIFICADO!$C$7:$F$40,4,FALSE)</f>
        <v>0</v>
      </c>
      <c r="E17" s="101">
        <v>7.5</v>
      </c>
      <c r="F17" s="101">
        <f t="shared" si="5"/>
        <v>0</v>
      </c>
      <c r="G17" s="100" t="s">
        <v>256</v>
      </c>
      <c r="H17" s="100" t="s">
        <v>266</v>
      </c>
      <c r="I17" s="100" t="s">
        <v>258</v>
      </c>
      <c r="J17" s="100" t="s">
        <v>268</v>
      </c>
      <c r="K17" s="100"/>
      <c r="L17" s="100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03" t="s">
        <v>46</v>
      </c>
      <c r="B18" s="100">
        <f>VLOOKUP(A18,UNIFICADO!$C$7:$F$40,2,FALSE)</f>
        <v>0</v>
      </c>
      <c r="C18" s="100">
        <f>VLOOKUP(A18,UNIFICADO!$C$7:$F$40,3,FALSE)</f>
        <v>0</v>
      </c>
      <c r="D18" s="100">
        <f>VLOOKUP(A18,UNIFICADO!$C$7:$F$40,4,FALSE)</f>
        <v>0</v>
      </c>
      <c r="E18" s="101">
        <v>7.5</v>
      </c>
      <c r="F18" s="101">
        <f t="shared" si="5"/>
        <v>0</v>
      </c>
      <c r="G18" s="104" t="s">
        <v>256</v>
      </c>
      <c r="H18" s="100" t="s">
        <v>266</v>
      </c>
      <c r="I18" s="100">
        <v>1.0</v>
      </c>
      <c r="J18" s="100" t="s">
        <v>269</v>
      </c>
      <c r="K18" s="100"/>
      <c r="L18" s="10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99" t="s">
        <v>150</v>
      </c>
      <c r="B19" s="100">
        <f>VLOOKUP(A19,UNIFICADO!$C$7:$F$40,2,FALSE)</f>
        <v>27</v>
      </c>
      <c r="C19" s="100">
        <f>VLOOKUP(A19,UNIFICADO!$C$7:$F$40,3,FALSE)</f>
        <v>1</v>
      </c>
      <c r="D19" s="100">
        <f>VLOOKUP(A19,UNIFICADO!$C$7:$F$40,4,FALSE)</f>
        <v>27</v>
      </c>
      <c r="E19" s="101">
        <v>7.5</v>
      </c>
      <c r="F19" s="101">
        <f t="shared" si="5"/>
        <v>3.6</v>
      </c>
      <c r="G19" s="105" t="s">
        <v>256</v>
      </c>
      <c r="H19" s="100" t="s">
        <v>266</v>
      </c>
      <c r="I19" s="100">
        <v>1.0</v>
      </c>
      <c r="J19" s="100" t="s">
        <v>270</v>
      </c>
      <c r="K19" s="100"/>
      <c r="L19" s="100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99" t="s">
        <v>154</v>
      </c>
      <c r="B20" s="100">
        <f>VLOOKUP(A20,UNIFICADO!$C$7:$F$40,2,FALSE)</f>
        <v>22.5</v>
      </c>
      <c r="C20" s="100">
        <f>VLOOKUP(A20,UNIFICADO!$C$7:$F$40,3,FALSE)</f>
        <v>1</v>
      </c>
      <c r="D20" s="100">
        <f>VLOOKUP(A20,UNIFICADO!$C$7:$F$40,4,FALSE)</f>
        <v>22.5</v>
      </c>
      <c r="E20" s="106">
        <v>7.5</v>
      </c>
      <c r="F20" s="101">
        <f t="shared" si="5"/>
        <v>3</v>
      </c>
      <c r="G20" s="100" t="s">
        <v>256</v>
      </c>
      <c r="H20" s="100" t="s">
        <v>266</v>
      </c>
      <c r="I20" s="100">
        <v>1.0</v>
      </c>
      <c r="J20" s="100" t="s">
        <v>271</v>
      </c>
      <c r="K20" s="100"/>
      <c r="L20" s="100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03" t="s">
        <v>126</v>
      </c>
      <c r="B21" s="100">
        <f>VLOOKUP(A21,UNIFICADO!$C$7:$F$40,2,FALSE)</f>
        <v>0</v>
      </c>
      <c r="C21" s="100">
        <f>VLOOKUP(A21,UNIFICADO!$C$7:$F$40,3,FALSE)</f>
        <v>1</v>
      </c>
      <c r="D21" s="100">
        <f>VLOOKUP(A21,UNIFICADO!$C$7:$F$40,4,FALSE)</f>
        <v>0</v>
      </c>
      <c r="E21" s="101">
        <v>7.5</v>
      </c>
      <c r="F21" s="101">
        <f t="shared" ref="F21:F22" si="6">IF(D21/E21&lt;2,2,D21/E21)</f>
        <v>2</v>
      </c>
      <c r="G21" s="100" t="s">
        <v>263</v>
      </c>
      <c r="H21" s="100" t="s">
        <v>266</v>
      </c>
      <c r="I21" s="100"/>
      <c r="J21" s="100"/>
      <c r="K21" s="100"/>
      <c r="L21" s="100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03" t="s">
        <v>128</v>
      </c>
      <c r="B22" s="100">
        <f>VLOOKUP(A22,UNIFICADO!$C$7:$F$40,2,FALSE)</f>
        <v>0</v>
      </c>
      <c r="C22" s="100">
        <f>VLOOKUP(A22,UNIFICADO!$C$7:$F$40,3,FALSE)</f>
        <v>1</v>
      </c>
      <c r="D22" s="100">
        <f>VLOOKUP(A22,UNIFICADO!$C$7:$F$40,4,FALSE)</f>
        <v>0</v>
      </c>
      <c r="E22" s="101">
        <v>7.5</v>
      </c>
      <c r="F22" s="101">
        <f t="shared" si="6"/>
        <v>2</v>
      </c>
      <c r="G22" s="100" t="s">
        <v>263</v>
      </c>
      <c r="H22" s="100" t="s">
        <v>266</v>
      </c>
      <c r="I22" s="100">
        <v>1.0</v>
      </c>
      <c r="J22" s="100" t="s">
        <v>272</v>
      </c>
      <c r="K22" s="100"/>
      <c r="L22" s="100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99" t="s">
        <v>123</v>
      </c>
      <c r="B23" s="100">
        <f>VLOOKUP(A23,UNIFICADO!$C$7:$F$40,2,FALSE)</f>
        <v>18.2</v>
      </c>
      <c r="C23" s="100">
        <f>VLOOKUP(A23,UNIFICADO!$C$7:$F$40,3,FALSE)</f>
        <v>1</v>
      </c>
      <c r="D23" s="100">
        <f>VLOOKUP(A23,UNIFICADO!$C$7:$F$40,4,FALSE)</f>
        <v>18.2</v>
      </c>
      <c r="E23" s="101">
        <v>7.5</v>
      </c>
      <c r="F23" s="101">
        <f t="shared" ref="F23:F30" si="7">D23/E23</f>
        <v>2.426666667</v>
      </c>
      <c r="G23" s="100" t="s">
        <v>263</v>
      </c>
      <c r="H23" s="100" t="s">
        <v>266</v>
      </c>
      <c r="I23" s="100">
        <v>1.0</v>
      </c>
      <c r="J23" s="100" t="s">
        <v>273</v>
      </c>
      <c r="K23" s="100"/>
      <c r="L23" s="100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07" t="s">
        <v>87</v>
      </c>
      <c r="B24" s="108">
        <f>VLOOKUP(A24,UNIFICADO!$C$7:$F$40,2,FALSE)</f>
        <v>6.5</v>
      </c>
      <c r="C24" s="108">
        <f>VLOOKUP(A24,UNIFICADO!$C$7:$F$40,3,FALSE)</f>
        <v>1</v>
      </c>
      <c r="D24" s="108">
        <f>VLOOKUP(A24,UNIFICADO!$C$7:$F$40,4,FALSE)</f>
        <v>6.5</v>
      </c>
      <c r="E24" s="109">
        <v>5.0</v>
      </c>
      <c r="F24" s="110">
        <f t="shared" si="7"/>
        <v>1.3</v>
      </c>
      <c r="G24" s="111" t="s">
        <v>263</v>
      </c>
      <c r="H24" s="111" t="s">
        <v>274</v>
      </c>
      <c r="I24" s="112">
        <v>1.0</v>
      </c>
      <c r="J24" s="112" t="s">
        <v>275</v>
      </c>
      <c r="K24" s="112"/>
      <c r="L24" s="11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07" t="s">
        <v>92</v>
      </c>
      <c r="B25" s="108">
        <f>VLOOKUP(A25,UNIFICADO!$C$7:$F$40,2,FALSE)</f>
        <v>15</v>
      </c>
      <c r="C25" s="108">
        <f>VLOOKUP(A25,UNIFICADO!$C$7:$F$40,3,FALSE)</f>
        <v>1</v>
      </c>
      <c r="D25" s="108">
        <f>VLOOKUP(A25,UNIFICADO!$C$7:$F$40,4,FALSE)</f>
        <v>15</v>
      </c>
      <c r="E25" s="109">
        <v>5.0</v>
      </c>
      <c r="F25" s="110">
        <f t="shared" si="7"/>
        <v>3</v>
      </c>
      <c r="G25" s="111" t="s">
        <v>263</v>
      </c>
      <c r="H25" s="111" t="s">
        <v>274</v>
      </c>
      <c r="I25" s="112">
        <v>1.0</v>
      </c>
      <c r="J25" s="112" t="s">
        <v>276</v>
      </c>
      <c r="K25" s="112"/>
      <c r="L25" s="11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13" t="s">
        <v>97</v>
      </c>
      <c r="B26" s="108">
        <f>VLOOKUP(A26,UNIFICADO!$C$7:$F$40,2,FALSE)</f>
        <v>36</v>
      </c>
      <c r="C26" s="108">
        <f>VLOOKUP(A26,UNIFICADO!$C$7:$F$40,3,FALSE)</f>
        <v>1</v>
      </c>
      <c r="D26" s="108">
        <f>VLOOKUP(A26,UNIFICADO!$C$7:$F$40,4,FALSE)</f>
        <v>36</v>
      </c>
      <c r="E26" s="109">
        <v>5.0</v>
      </c>
      <c r="F26" s="110">
        <f t="shared" si="7"/>
        <v>7.2</v>
      </c>
      <c r="G26" s="111" t="s">
        <v>263</v>
      </c>
      <c r="H26" s="111" t="s">
        <v>274</v>
      </c>
      <c r="I26" s="112">
        <v>1.0</v>
      </c>
      <c r="J26" s="112" t="s">
        <v>276</v>
      </c>
      <c r="K26" s="112"/>
      <c r="L26" s="11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13" t="s">
        <v>165</v>
      </c>
      <c r="B27" s="108">
        <f>VLOOKUP(A27,UNIFICADO!$C$7:$F$40,2,FALSE)</f>
        <v>18</v>
      </c>
      <c r="C27" s="108">
        <f>VLOOKUP(A27,UNIFICADO!$C$7:$F$40,3,FALSE)</f>
        <v>1</v>
      </c>
      <c r="D27" s="108">
        <f>VLOOKUP(A27,UNIFICADO!$C$7:$F$40,4,FALSE)</f>
        <v>18</v>
      </c>
      <c r="E27" s="109">
        <v>5.0</v>
      </c>
      <c r="F27" s="110">
        <f t="shared" si="7"/>
        <v>3.6</v>
      </c>
      <c r="G27" s="108" t="s">
        <v>256</v>
      </c>
      <c r="H27" s="111" t="s">
        <v>274</v>
      </c>
      <c r="I27" s="112">
        <v>1.0</v>
      </c>
      <c r="J27" s="112" t="s">
        <v>277</v>
      </c>
      <c r="K27" s="112"/>
      <c r="L27" s="11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13" t="s">
        <v>108</v>
      </c>
      <c r="B28" s="108">
        <f>VLOOKUP(A28,UNIFICADO!$C$7:$F$40,2,FALSE)</f>
        <v>19</v>
      </c>
      <c r="C28" s="108">
        <f>VLOOKUP(A28,UNIFICADO!$C$7:$F$40,3,FALSE)</f>
        <v>1</v>
      </c>
      <c r="D28" s="108">
        <f>VLOOKUP(A28,UNIFICADO!$C$7:$F$40,4,FALSE)</f>
        <v>19</v>
      </c>
      <c r="E28" s="109">
        <v>5.0</v>
      </c>
      <c r="F28" s="110">
        <f t="shared" si="7"/>
        <v>3.8</v>
      </c>
      <c r="G28" s="111" t="s">
        <v>263</v>
      </c>
      <c r="H28" s="111" t="s">
        <v>274</v>
      </c>
      <c r="I28" s="112">
        <v>1.0</v>
      </c>
      <c r="J28" s="112" t="s">
        <v>278</v>
      </c>
      <c r="K28" s="112"/>
      <c r="L28" s="11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14" t="s">
        <v>112</v>
      </c>
      <c r="B29" s="108">
        <f>VLOOKUP(A29,UNIFICADO!$C$7:$F$40,2,FALSE)</f>
        <v>9.75</v>
      </c>
      <c r="C29" s="108">
        <f>VLOOKUP(A29,UNIFICADO!$C$7:$F$40,3,FALSE)</f>
        <v>1</v>
      </c>
      <c r="D29" s="108">
        <f>VLOOKUP(A29,UNIFICADO!$C$7:$F$40,4,FALSE)</f>
        <v>9.75</v>
      </c>
      <c r="E29" s="109">
        <v>5.0</v>
      </c>
      <c r="F29" s="110">
        <f t="shared" si="7"/>
        <v>1.95</v>
      </c>
      <c r="G29" s="111" t="s">
        <v>263</v>
      </c>
      <c r="H29" s="111" t="s">
        <v>274</v>
      </c>
      <c r="I29" s="112">
        <v>1.0</v>
      </c>
      <c r="J29" s="112"/>
      <c r="K29" s="112"/>
      <c r="L29" s="11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13" t="s">
        <v>115</v>
      </c>
      <c r="B30" s="108">
        <f>VLOOKUP(A30,UNIFICADO!$C$7:$F$40,2,FALSE)</f>
        <v>9.75</v>
      </c>
      <c r="C30" s="108">
        <f>VLOOKUP(A30,UNIFICADO!$C$7:$F$40,3,FALSE)</f>
        <v>1</v>
      </c>
      <c r="D30" s="108">
        <f>VLOOKUP(A30,UNIFICADO!$C$7:$F$40,4,FALSE)</f>
        <v>9.75</v>
      </c>
      <c r="E30" s="109">
        <v>5.0</v>
      </c>
      <c r="F30" s="110">
        <f t="shared" si="7"/>
        <v>1.95</v>
      </c>
      <c r="G30" s="111" t="s">
        <v>263</v>
      </c>
      <c r="H30" s="111" t="s">
        <v>274</v>
      </c>
      <c r="I30" s="112">
        <v>1.0</v>
      </c>
      <c r="J30" s="112" t="s">
        <v>272</v>
      </c>
      <c r="K30" s="112"/>
      <c r="L30" s="11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6.75" customHeight="1">
      <c r="A31" s="115" t="s">
        <v>145</v>
      </c>
      <c r="B31" s="116">
        <f>VLOOKUP(A31,UNIFICADO!$C$7:$F$40,2,FALSE)</f>
        <v>420</v>
      </c>
      <c r="C31" s="116">
        <f>VLOOKUP(A31,UNIFICADO!$C$7:$F$40,3,FALSE)</f>
        <v>1</v>
      </c>
      <c r="D31" s="116">
        <f>VLOOKUP(A31,UNIFICADO!$C$7:$F$40,4,FALSE)</f>
        <v>420</v>
      </c>
      <c r="E31" s="117">
        <v>15.0</v>
      </c>
      <c r="F31" s="118">
        <v>28.0</v>
      </c>
      <c r="G31" s="119" t="s">
        <v>256</v>
      </c>
      <c r="H31" s="119" t="s">
        <v>279</v>
      </c>
      <c r="I31" s="118">
        <v>1.0</v>
      </c>
      <c r="J31" s="120" t="s">
        <v>280</v>
      </c>
      <c r="K31" s="118"/>
      <c r="L31" s="11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21" t="s">
        <v>74</v>
      </c>
      <c r="B32" s="116">
        <f>VLOOKUP(A32,UNIFICADO!$C$7:$F$40,2,FALSE)</f>
        <v>90</v>
      </c>
      <c r="C32" s="116">
        <f>VLOOKUP(A32,UNIFICADO!$C$7:$F$40,3,FALSE)</f>
        <v>1</v>
      </c>
      <c r="D32" s="116">
        <f>VLOOKUP(A32,UNIFICADO!$C$7:$F$40,4,FALSE)</f>
        <v>90</v>
      </c>
      <c r="E32" s="122">
        <v>7.5</v>
      </c>
      <c r="F32" s="122">
        <f t="shared" ref="F32:F35" si="8">D32/E32</f>
        <v>12</v>
      </c>
      <c r="G32" s="122" t="s">
        <v>256</v>
      </c>
      <c r="H32" s="122" t="s">
        <v>279</v>
      </c>
      <c r="I32" s="123">
        <v>1.0</v>
      </c>
      <c r="J32" s="123" t="s">
        <v>281</v>
      </c>
      <c r="K32" s="123"/>
      <c r="L32" s="123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15" t="s">
        <v>83</v>
      </c>
      <c r="B33" s="116">
        <f>VLOOKUP(A33,UNIFICADO!$C$7:$F$40,2,FALSE)</f>
        <v>172.5</v>
      </c>
      <c r="C33" s="116">
        <f>VLOOKUP(A33,UNIFICADO!$C$7:$F$40,3,FALSE)</f>
        <v>1</v>
      </c>
      <c r="D33" s="116">
        <f>VLOOKUP(A33,UNIFICADO!$C$7:$F$40,4,FALSE)</f>
        <v>172.5</v>
      </c>
      <c r="E33" s="117">
        <v>16.0</v>
      </c>
      <c r="F33" s="124">
        <f t="shared" si="8"/>
        <v>10.78125</v>
      </c>
      <c r="G33" s="117" t="s">
        <v>256</v>
      </c>
      <c r="H33" s="117" t="s">
        <v>279</v>
      </c>
      <c r="I33" s="118">
        <v>1.0</v>
      </c>
      <c r="J33" s="118" t="s">
        <v>282</v>
      </c>
      <c r="K33" s="118"/>
      <c r="L33" s="11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15" t="s">
        <v>119</v>
      </c>
      <c r="B34" s="116">
        <f>VLOOKUP(A34,UNIFICADO!$C$7:$F$40,2,FALSE)</f>
        <v>36.4</v>
      </c>
      <c r="C34" s="116">
        <f>VLOOKUP(A34,UNIFICADO!$C$7:$F$40,3,FALSE)</f>
        <v>1</v>
      </c>
      <c r="D34" s="116">
        <f>VLOOKUP(A34,UNIFICADO!$C$7:$F$40,4,FALSE)</f>
        <v>36.4</v>
      </c>
      <c r="E34" s="117">
        <v>7.5</v>
      </c>
      <c r="F34" s="124">
        <f t="shared" si="8"/>
        <v>4.853333333</v>
      </c>
      <c r="G34" s="119" t="s">
        <v>263</v>
      </c>
      <c r="H34" s="117" t="s">
        <v>279</v>
      </c>
      <c r="I34" s="118">
        <v>1.0</v>
      </c>
      <c r="J34" s="118" t="s">
        <v>283</v>
      </c>
      <c r="K34" s="118"/>
      <c r="L34" s="11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25" t="s">
        <v>164</v>
      </c>
      <c r="B35" s="116">
        <f>VLOOKUP(A35,UNIFICADO!$C$7:$F$40,2,FALSE)</f>
        <v>150</v>
      </c>
      <c r="C35" s="116">
        <f>VLOOKUP(A35,UNIFICADO!$C$7:$F$40,3,FALSE)</f>
        <v>1</v>
      </c>
      <c r="D35" s="116">
        <f>VLOOKUP(A35,UNIFICADO!$C$7:$F$40,4,FALSE)</f>
        <v>150</v>
      </c>
      <c r="E35" s="117">
        <v>7.5</v>
      </c>
      <c r="F35" s="124">
        <f t="shared" si="8"/>
        <v>20</v>
      </c>
      <c r="G35" s="119" t="s">
        <v>263</v>
      </c>
      <c r="H35" s="117" t="s">
        <v>279</v>
      </c>
      <c r="I35" s="118">
        <v>1.0</v>
      </c>
      <c r="J35" s="118" t="s">
        <v>284</v>
      </c>
      <c r="K35" s="118"/>
      <c r="L35" s="11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2"/>
      <c r="B36" s="1"/>
      <c r="C36" s="1"/>
      <c r="D36" s="1"/>
      <c r="E36" s="1"/>
      <c r="F36" s="1"/>
      <c r="G36" s="1"/>
      <c r="H36" s="1"/>
      <c r="I36" s="126"/>
      <c r="J36" s="126"/>
      <c r="K36" s="126"/>
      <c r="L36" s="126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27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</sheetData>
  <printOptions/>
  <pageMargins bottom="0.75" footer="0.0" header="0.0" left="0.7" right="0.7" top="0.75"/>
  <pageSetup paperSize="9" orientation="portrait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6.29"/>
    <col customWidth="1" min="3" max="3" width="10.0"/>
    <col customWidth="1" min="4" max="4" width="6.71"/>
    <col customWidth="1" min="5" max="5" width="17.86"/>
    <col customWidth="1" min="6" max="6" width="14.57"/>
    <col customWidth="1" min="7" max="8" width="13.71"/>
    <col customWidth="1" min="9" max="9" width="15.57"/>
    <col customWidth="1" min="10" max="10" width="16.29"/>
    <col customWidth="1" min="11" max="26" width="13.29"/>
  </cols>
  <sheetData>
    <row r="1" ht="54.0" customHeight="1">
      <c r="A1" s="15" t="s">
        <v>285</v>
      </c>
      <c r="B1" s="15" t="s">
        <v>286</v>
      </c>
      <c r="C1" s="15" t="s">
        <v>287</v>
      </c>
      <c r="D1" s="15" t="s">
        <v>288</v>
      </c>
      <c r="E1" s="128" t="s">
        <v>289</v>
      </c>
      <c r="F1" s="128" t="s">
        <v>290</v>
      </c>
      <c r="G1" s="128" t="s">
        <v>291</v>
      </c>
      <c r="H1" s="128" t="s">
        <v>292</v>
      </c>
      <c r="I1" s="128" t="s">
        <v>293</v>
      </c>
      <c r="J1" s="128" t="s">
        <v>294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0">
        <v>1.0</v>
      </c>
      <c r="B2" s="21" t="s">
        <v>295</v>
      </c>
      <c r="C2" s="21"/>
      <c r="D2" s="10"/>
      <c r="E2" s="10"/>
      <c r="F2" s="10"/>
      <c r="G2" s="10" t="str">
        <f>SUM(F3:F7)</f>
        <v>#N/A</v>
      </c>
      <c r="H2" s="129"/>
      <c r="I2" s="129"/>
      <c r="J2" s="129" t="str">
        <f>SUM(I3:I7)</f>
        <v>#N/A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0">
        <v>1.1</v>
      </c>
      <c r="B3" s="21" t="s">
        <v>29</v>
      </c>
      <c r="C3" s="10">
        <f>VLOOKUP(B3,UNIFICADO!$C$7:$F$40,3,FALSE)</f>
        <v>0</v>
      </c>
      <c r="D3" s="10" t="s">
        <v>296</v>
      </c>
      <c r="E3" s="10">
        <f>VLOOKUP(B3,UNIFICADO!$C$7:$F$40,2,FALSE)</f>
        <v>0</v>
      </c>
      <c r="F3" s="130">
        <f t="shared" ref="F3:F7" si="1">E3+30%*E3</f>
        <v>0</v>
      </c>
      <c r="G3" s="10"/>
      <c r="H3" s="131">
        <v>1084.5762711864409</v>
      </c>
      <c r="I3" s="129">
        <f t="shared" ref="I3:I7" si="2">F3*H3</f>
        <v>0</v>
      </c>
      <c r="J3" s="12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0">
        <v>1.2</v>
      </c>
      <c r="B4" s="21" t="s">
        <v>40</v>
      </c>
      <c r="C4" s="10">
        <f>VLOOKUP(B4,UNIFICADO!$C$7:$F$40,3,FALSE)</f>
        <v>0</v>
      </c>
      <c r="D4" s="10" t="s">
        <v>296</v>
      </c>
      <c r="E4" s="10">
        <f>VLOOKUP(B4,UNIFICADO!$C$7:$F$40,2,FALSE)</f>
        <v>0</v>
      </c>
      <c r="F4" s="130">
        <f t="shared" si="1"/>
        <v>0</v>
      </c>
      <c r="G4" s="10"/>
      <c r="H4" s="131">
        <v>1084.5762711864409</v>
      </c>
      <c r="I4" s="129">
        <f t="shared" si="2"/>
        <v>0</v>
      </c>
      <c r="J4" s="129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0">
        <v>1.3</v>
      </c>
      <c r="B5" s="21" t="s">
        <v>298</v>
      </c>
      <c r="C5" s="10" t="str">
        <f>VLOOKUP(B5,UNIFICADO!$C$7:$F$40,3,FALSE)</f>
        <v>#N/A</v>
      </c>
      <c r="D5" s="10" t="s">
        <v>296</v>
      </c>
      <c r="E5" s="10" t="str">
        <f>VLOOKUP(B5,UNIFICADO!$C$7:$F$40,2,FALSE)</f>
        <v>#N/A</v>
      </c>
      <c r="F5" s="130" t="str">
        <f t="shared" si="1"/>
        <v>#N/A</v>
      </c>
      <c r="G5" s="10"/>
      <c r="H5" s="131">
        <v>1084.5762711864409</v>
      </c>
      <c r="I5" s="129" t="str">
        <f t="shared" si="2"/>
        <v>#N/A</v>
      </c>
      <c r="J5" s="129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0">
        <v>1.4</v>
      </c>
      <c r="B6" s="21" t="s">
        <v>52</v>
      </c>
      <c r="C6" s="10">
        <f>VLOOKUP(B6,UNIFICADO!$C$7:$F$40,3,FALSE)</f>
        <v>6</v>
      </c>
      <c r="D6" s="10" t="s">
        <v>296</v>
      </c>
      <c r="E6" s="10">
        <f>VLOOKUP(B6,UNIFICADO!$C$7:$F$40,2,FALSE)</f>
        <v>240</v>
      </c>
      <c r="F6" s="130">
        <f t="shared" si="1"/>
        <v>312</v>
      </c>
      <c r="G6" s="10"/>
      <c r="H6" s="131">
        <v>1084.5762711864409</v>
      </c>
      <c r="I6" s="129">
        <f t="shared" si="2"/>
        <v>338387.7966</v>
      </c>
      <c r="J6" s="12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0">
        <v>1.5</v>
      </c>
      <c r="B7" s="21" t="s">
        <v>55</v>
      </c>
      <c r="C7" s="10">
        <f>VLOOKUP(B7,UNIFICADO!$C$7:$F$40,3,FALSE)</f>
        <v>0</v>
      </c>
      <c r="D7" s="10" t="s">
        <v>296</v>
      </c>
      <c r="E7" s="10">
        <f>VLOOKUP(B7,UNIFICADO!$C$7:$F$40,2,FALSE)</f>
        <v>0</v>
      </c>
      <c r="F7" s="130">
        <f t="shared" si="1"/>
        <v>0</v>
      </c>
      <c r="G7" s="137"/>
      <c r="H7" s="131">
        <v>1084.5762711864409</v>
      </c>
      <c r="I7" s="129">
        <f t="shared" si="2"/>
        <v>0</v>
      </c>
      <c r="J7" s="129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0">
        <v>2.0</v>
      </c>
      <c r="B8" s="16" t="s">
        <v>316</v>
      </c>
      <c r="C8" s="10"/>
      <c r="D8" s="10"/>
      <c r="E8" s="10"/>
      <c r="F8" s="130"/>
      <c r="G8" s="130">
        <f>SUM(F9:F19)</f>
        <v>923.325</v>
      </c>
      <c r="H8" s="129"/>
      <c r="I8" s="129"/>
      <c r="J8" s="129">
        <f>SUM(I9:I19)</f>
        <v>1001416.386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0">
        <v>2.1</v>
      </c>
      <c r="B9" s="21" t="s">
        <v>87</v>
      </c>
      <c r="C9" s="10">
        <f>VLOOKUP(B9,UNIFICADO!$C$7:$F$40,3,FALSE)</f>
        <v>1</v>
      </c>
      <c r="D9" s="10" t="s">
        <v>296</v>
      </c>
      <c r="E9" s="10">
        <f>VLOOKUP(B9,UNIFICADO!$C$7:$F$40,2,FALSE)</f>
        <v>6.5</v>
      </c>
      <c r="F9" s="130">
        <f t="shared" ref="F9:F19" si="3">E9+30%*E9</f>
        <v>8.45</v>
      </c>
      <c r="G9" s="137"/>
      <c r="H9" s="129">
        <v>1084.5762711864409</v>
      </c>
      <c r="I9" s="129">
        <f t="shared" ref="I9:I19" si="4">F9*H9</f>
        <v>9164.669492</v>
      </c>
      <c r="J9" s="12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0">
        <v>2.2</v>
      </c>
      <c r="B10" s="21" t="s">
        <v>97</v>
      </c>
      <c r="C10" s="10">
        <f>VLOOKUP(B10,UNIFICADO!$C$7:$F$40,3,FALSE)</f>
        <v>1</v>
      </c>
      <c r="D10" s="10" t="s">
        <v>296</v>
      </c>
      <c r="E10" s="10">
        <f>VLOOKUP(B10,UNIFICADO!$C$7:$F$40,2,FALSE)</f>
        <v>36</v>
      </c>
      <c r="F10" s="130">
        <f t="shared" si="3"/>
        <v>46.8</v>
      </c>
      <c r="G10" s="10"/>
      <c r="H10" s="129">
        <v>1084.5762711864409</v>
      </c>
      <c r="I10" s="129">
        <f t="shared" si="4"/>
        <v>50758.16949</v>
      </c>
      <c r="J10" s="12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0">
        <v>2.3</v>
      </c>
      <c r="B11" s="21" t="s">
        <v>108</v>
      </c>
      <c r="C11" s="10">
        <f>VLOOKUP(B11,UNIFICADO!$C$7:$F$40,3,FALSE)</f>
        <v>1</v>
      </c>
      <c r="D11" s="10" t="s">
        <v>296</v>
      </c>
      <c r="E11" s="10">
        <f>VLOOKUP(B11,UNIFICADO!$C$7:$F$40,2,FALSE)</f>
        <v>19</v>
      </c>
      <c r="F11" s="130">
        <f t="shared" si="3"/>
        <v>24.7</v>
      </c>
      <c r="G11" s="10"/>
      <c r="H11" s="129">
        <v>1084.5762711864409</v>
      </c>
      <c r="I11" s="129">
        <f t="shared" si="4"/>
        <v>26789.0339</v>
      </c>
      <c r="J11" s="129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0">
        <v>2.4</v>
      </c>
      <c r="B12" s="21" t="s">
        <v>57</v>
      </c>
      <c r="C12" s="10">
        <f>VLOOKUP(B12,UNIFICADO!$C$7:$F$40,3,FALSE)</f>
        <v>1</v>
      </c>
      <c r="D12" s="10" t="s">
        <v>296</v>
      </c>
      <c r="E12" s="10">
        <f>VLOOKUP(B12,UNIFICADO!$C$7:$F$40,2,FALSE)</f>
        <v>93.75</v>
      </c>
      <c r="F12" s="130">
        <f t="shared" si="3"/>
        <v>121.875</v>
      </c>
      <c r="G12" s="10"/>
      <c r="H12" s="129">
        <v>1084.5762711864409</v>
      </c>
      <c r="I12" s="129">
        <f t="shared" si="4"/>
        <v>132182.7331</v>
      </c>
      <c r="J12" s="12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0">
        <v>2.5</v>
      </c>
      <c r="B13" s="21" t="s">
        <v>60</v>
      </c>
      <c r="C13" s="10">
        <f>VLOOKUP(B13,UNIFICADO!$C$7:$F$40,3,FALSE)</f>
        <v>1</v>
      </c>
      <c r="D13" s="10" t="s">
        <v>296</v>
      </c>
      <c r="E13" s="10">
        <f>VLOOKUP(B13,UNIFICADO!$C$7:$F$40,2,FALSE)</f>
        <v>90</v>
      </c>
      <c r="F13" s="130">
        <f t="shared" si="3"/>
        <v>117</v>
      </c>
      <c r="G13" s="137"/>
      <c r="H13" s="129">
        <v>1084.5762711864409</v>
      </c>
      <c r="I13" s="129">
        <f t="shared" si="4"/>
        <v>126895.4237</v>
      </c>
      <c r="J13" s="129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0">
        <v>2.6</v>
      </c>
      <c r="B14" s="21" t="s">
        <v>63</v>
      </c>
      <c r="C14" s="10">
        <f>VLOOKUP(B14,UNIFICADO!$C$7:$F$40,3,FALSE)</f>
        <v>1</v>
      </c>
      <c r="D14" s="10" t="s">
        <v>296</v>
      </c>
      <c r="E14" s="10">
        <f>VLOOKUP(B14,UNIFICADO!$C$7:$F$40,2,FALSE)</f>
        <v>90</v>
      </c>
      <c r="F14" s="130">
        <f t="shared" si="3"/>
        <v>117</v>
      </c>
      <c r="G14" s="137"/>
      <c r="H14" s="129">
        <v>1084.5762711864409</v>
      </c>
      <c r="I14" s="129">
        <f t="shared" si="4"/>
        <v>126895.4237</v>
      </c>
      <c r="J14" s="12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0">
        <v>2.7</v>
      </c>
      <c r="B15" s="21" t="s">
        <v>317</v>
      </c>
      <c r="C15" s="10">
        <f>VLOOKUP(B15,UNIFICADO!$C$7:$F$40,3,FALSE)</f>
        <v>1</v>
      </c>
      <c r="D15" s="10" t="s">
        <v>296</v>
      </c>
      <c r="E15" s="10">
        <f>VLOOKUP(B15,UNIFICADO!$C$7:$F$40,2,FALSE)</f>
        <v>90</v>
      </c>
      <c r="F15" s="130">
        <f t="shared" si="3"/>
        <v>117</v>
      </c>
      <c r="G15" s="137"/>
      <c r="H15" s="129">
        <v>1084.5762711864409</v>
      </c>
      <c r="I15" s="129">
        <f t="shared" si="4"/>
        <v>126895.4237</v>
      </c>
      <c r="J15" s="129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0">
        <v>2.8</v>
      </c>
      <c r="B16" s="21" t="s">
        <v>318</v>
      </c>
      <c r="C16" s="10">
        <f>VLOOKUP(B16,UNIFICADO!$C$7:$F$40,3,FALSE)</f>
        <v>1</v>
      </c>
      <c r="D16" s="10" t="s">
        <v>296</v>
      </c>
      <c r="E16" s="10">
        <f>VLOOKUP(B16,UNIFICADO!$C$7:$F$40,2,FALSE)</f>
        <v>90</v>
      </c>
      <c r="F16" s="130">
        <f t="shared" si="3"/>
        <v>117</v>
      </c>
      <c r="G16" s="137"/>
      <c r="H16" s="129">
        <v>1084.5762711864409</v>
      </c>
      <c r="I16" s="129">
        <f t="shared" si="4"/>
        <v>126895.4237</v>
      </c>
      <c r="J16" s="12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0">
        <v>2.9</v>
      </c>
      <c r="B17" s="21" t="s">
        <v>74</v>
      </c>
      <c r="C17" s="10">
        <f>VLOOKUP(B17,UNIFICADO!$C$7:$F$40,3,FALSE)</f>
        <v>1</v>
      </c>
      <c r="D17" s="10" t="s">
        <v>296</v>
      </c>
      <c r="E17" s="10">
        <f>VLOOKUP(B17,UNIFICADO!$C$7:$F$40,2,FALSE)</f>
        <v>90</v>
      </c>
      <c r="F17" s="130">
        <f t="shared" si="3"/>
        <v>117</v>
      </c>
      <c r="G17" s="137"/>
      <c r="H17" s="129">
        <v>1084.5762711864409</v>
      </c>
      <c r="I17" s="129">
        <f t="shared" si="4"/>
        <v>126895.4237</v>
      </c>
      <c r="J17" s="129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30">
        <v>2.1</v>
      </c>
      <c r="B18" s="21" t="s">
        <v>79</v>
      </c>
      <c r="C18" s="10">
        <f>VLOOKUP(B18,UNIFICADO!$C$7:$F$40,3,FALSE)</f>
        <v>1</v>
      </c>
      <c r="D18" s="10" t="s">
        <v>296</v>
      </c>
      <c r="E18" s="10">
        <f>VLOOKUP(B18,UNIFICADO!$C$7:$F$40,2,FALSE)</f>
        <v>90</v>
      </c>
      <c r="F18" s="130">
        <f t="shared" si="3"/>
        <v>117</v>
      </c>
      <c r="G18" s="137"/>
      <c r="H18" s="129">
        <v>1084.5762711864409</v>
      </c>
      <c r="I18" s="129">
        <f t="shared" si="4"/>
        <v>126895.4237</v>
      </c>
      <c r="J18" s="12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0">
        <v>2.11</v>
      </c>
      <c r="B19" s="21" t="s">
        <v>319</v>
      </c>
      <c r="C19" s="10">
        <f>VLOOKUP(B19,UNIFICADO!$C$7:$F$40,3,FALSE)</f>
        <v>1</v>
      </c>
      <c r="D19" s="10" t="s">
        <v>296</v>
      </c>
      <c r="E19" s="10">
        <f>VLOOKUP(B19,UNIFICADO!$C$7:$F$40,2,FALSE)</f>
        <v>15</v>
      </c>
      <c r="F19" s="130">
        <f t="shared" si="3"/>
        <v>19.5</v>
      </c>
      <c r="G19" s="10"/>
      <c r="H19" s="129">
        <v>1084.5762711864409</v>
      </c>
      <c r="I19" s="129">
        <f t="shared" si="4"/>
        <v>21149.23729</v>
      </c>
      <c r="J19" s="129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0">
        <v>3.0</v>
      </c>
      <c r="B20" s="21" t="s">
        <v>320</v>
      </c>
      <c r="C20" s="10"/>
      <c r="D20" s="10"/>
      <c r="E20" s="10"/>
      <c r="F20" s="130"/>
      <c r="G20" s="137" t="str">
        <f>SUM(F21:F32)</f>
        <v>#N/A</v>
      </c>
      <c r="H20" s="129"/>
      <c r="I20" s="129"/>
      <c r="J20" s="129" t="str">
        <f>SUM(I21:I32)</f>
        <v>#N/A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0">
        <v>3.1</v>
      </c>
      <c r="B21" s="138" t="s">
        <v>126</v>
      </c>
      <c r="C21" s="10">
        <f>VLOOKUP(B21,UNIFICADO!$C$7:$F$40,3,FALSE)</f>
        <v>1</v>
      </c>
      <c r="D21" s="10" t="s">
        <v>296</v>
      </c>
      <c r="E21" s="10">
        <f>VLOOKUP(B21,UNIFICADO!$C$7:$F$40,2,FALSE)</f>
        <v>0</v>
      </c>
      <c r="F21" s="130">
        <f t="shared" ref="F21:F31" si="5">E21+30%*E21</f>
        <v>0</v>
      </c>
      <c r="G21" s="10"/>
      <c r="H21" s="129">
        <v>1084.5762711864409</v>
      </c>
      <c r="I21" s="129">
        <f>F21*H21</f>
        <v>0</v>
      </c>
      <c r="J21" s="129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55">
        <v>3.2</v>
      </c>
      <c r="B22" s="138" t="s">
        <v>128</v>
      </c>
      <c r="C22" s="10">
        <f>VLOOKUP(B22,UNIFICADO!$C$7:$F$40,3,FALSE)</f>
        <v>1</v>
      </c>
      <c r="D22" s="55" t="s">
        <v>296</v>
      </c>
      <c r="E22" s="10">
        <f>VLOOKUP(B22,UNIFICADO!$C$7:$F$40,2,FALSE)</f>
        <v>0</v>
      </c>
      <c r="F22" s="130">
        <f t="shared" si="5"/>
        <v>0</v>
      </c>
      <c r="G22" s="10"/>
      <c r="H22" s="129"/>
      <c r="I22" s="129"/>
      <c r="J22" s="12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0">
        <v>3.3</v>
      </c>
      <c r="B23" s="138" t="s">
        <v>132</v>
      </c>
      <c r="C23" s="10">
        <f>VLOOKUP(B23,UNIFICADO!$C$7:$F$40,3,FALSE)</f>
        <v>1</v>
      </c>
      <c r="D23" s="10" t="s">
        <v>296</v>
      </c>
      <c r="E23" s="10">
        <f>VLOOKUP(B23,UNIFICADO!$C$7:$F$40,2,FALSE)</f>
        <v>12.5</v>
      </c>
      <c r="F23" s="130">
        <f t="shared" si="5"/>
        <v>16.25</v>
      </c>
      <c r="G23" s="10"/>
      <c r="H23" s="129">
        <v>1084.5762711864409</v>
      </c>
      <c r="I23" s="129">
        <f>F23*H23</f>
        <v>17624.36441</v>
      </c>
      <c r="J23" s="129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55">
        <v>3.4</v>
      </c>
      <c r="B24" s="138" t="s">
        <v>136</v>
      </c>
      <c r="C24" s="10">
        <f>VLOOKUP(B24,UNIFICADO!$C$7:$F$40,3,FALSE)</f>
        <v>1</v>
      </c>
      <c r="D24" s="55" t="s">
        <v>296</v>
      </c>
      <c r="E24" s="10">
        <f>VLOOKUP(B24,UNIFICADO!$C$7:$F$40,2,FALSE)</f>
        <v>13</v>
      </c>
      <c r="F24" s="130">
        <f t="shared" si="5"/>
        <v>16.9</v>
      </c>
      <c r="G24" s="10"/>
      <c r="H24" s="129"/>
      <c r="I24" s="129"/>
      <c r="J24" s="12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0">
        <v>3.5</v>
      </c>
      <c r="B25" s="138" t="s">
        <v>139</v>
      </c>
      <c r="C25" s="10">
        <f>VLOOKUP(B25,UNIFICADO!$C$7:$F$40,3,FALSE)</f>
        <v>1</v>
      </c>
      <c r="D25" s="10" t="s">
        <v>296</v>
      </c>
      <c r="E25" s="10">
        <f>VLOOKUP(B25,UNIFICADO!$C$7:$F$40,2,FALSE)</f>
        <v>0</v>
      </c>
      <c r="F25" s="130">
        <f t="shared" si="5"/>
        <v>0</v>
      </c>
      <c r="G25" s="10"/>
      <c r="H25" s="129">
        <v>1084.5762711864409</v>
      </c>
      <c r="I25" s="129">
        <f>F25*H25</f>
        <v>0</v>
      </c>
      <c r="J25" s="129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55">
        <v>3.6</v>
      </c>
      <c r="B26" s="138" t="s">
        <v>141</v>
      </c>
      <c r="C26" s="10">
        <f>VLOOKUP(B26,UNIFICADO!$C$7:$F$40,3,FALSE)</f>
        <v>1</v>
      </c>
      <c r="D26" s="55" t="s">
        <v>296</v>
      </c>
      <c r="E26" s="10">
        <f>VLOOKUP(B26,UNIFICADO!$C$7:$F$40,2,FALSE)</f>
        <v>0</v>
      </c>
      <c r="F26" s="130">
        <f t="shared" si="5"/>
        <v>0</v>
      </c>
      <c r="G26" s="10"/>
      <c r="H26" s="129"/>
      <c r="I26" s="129"/>
      <c r="J26" s="12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0">
        <v>3.7</v>
      </c>
      <c r="B27" s="21" t="s">
        <v>321</v>
      </c>
      <c r="C27" s="10" t="str">
        <f>VLOOKUP(B27,UNIFICADO!$C$7:$F$40,3,FALSE)</f>
        <v>#N/A</v>
      </c>
      <c r="D27" s="10" t="s">
        <v>296</v>
      </c>
      <c r="E27" s="10" t="str">
        <f>VLOOKUP(B27,UNIFICADO!$C$7:$F$40,2,FALSE)</f>
        <v>#N/A</v>
      </c>
      <c r="F27" s="130" t="str">
        <f t="shared" si="5"/>
        <v>#N/A</v>
      </c>
      <c r="G27" s="10"/>
      <c r="H27" s="129">
        <v>1084.5762711864409</v>
      </c>
      <c r="I27" s="129" t="str">
        <f t="shared" ref="I27:I31" si="6">F27*H27</f>
        <v>#N/A</v>
      </c>
      <c r="J27" s="12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55">
        <v>3.8</v>
      </c>
      <c r="B28" s="21" t="s">
        <v>150</v>
      </c>
      <c r="C28" s="10">
        <f>VLOOKUP(B28,UNIFICADO!$C$7:$F$40,3,FALSE)</f>
        <v>1</v>
      </c>
      <c r="D28" s="10" t="s">
        <v>296</v>
      </c>
      <c r="E28" s="10">
        <f>VLOOKUP(B28,UNIFICADO!$C$7:$F$40,2,FALSE)</f>
        <v>27</v>
      </c>
      <c r="F28" s="130">
        <f t="shared" si="5"/>
        <v>35.1</v>
      </c>
      <c r="G28" s="10"/>
      <c r="H28" s="129">
        <v>1084.5762711864409</v>
      </c>
      <c r="I28" s="129">
        <f t="shared" si="6"/>
        <v>38068.62712</v>
      </c>
      <c r="J28" s="12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0">
        <v>3.9</v>
      </c>
      <c r="B29" s="21" t="s">
        <v>154</v>
      </c>
      <c r="C29" s="10">
        <f>VLOOKUP(B29,UNIFICADO!$C$7:$F$40,3,FALSE)</f>
        <v>1</v>
      </c>
      <c r="D29" s="10" t="s">
        <v>296</v>
      </c>
      <c r="E29" s="10">
        <f>VLOOKUP(B29,UNIFICADO!$C$7:$F$40,2,FALSE)</f>
        <v>22.5</v>
      </c>
      <c r="F29" s="130">
        <f t="shared" si="5"/>
        <v>29.25</v>
      </c>
      <c r="G29" s="10"/>
      <c r="H29" s="129">
        <v>1084.5762711864409</v>
      </c>
      <c r="I29" s="129">
        <f t="shared" si="6"/>
        <v>31723.85593</v>
      </c>
      <c r="J29" s="12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39">
        <v>3.1</v>
      </c>
      <c r="B30" s="21" t="s">
        <v>119</v>
      </c>
      <c r="C30" s="10">
        <f>VLOOKUP(B30,UNIFICADO!$C$7:$F$40,3,FALSE)</f>
        <v>1</v>
      </c>
      <c r="D30" s="10" t="s">
        <v>296</v>
      </c>
      <c r="E30" s="10">
        <f>VLOOKUP(B30,UNIFICADO!$C$7:$F$40,2,FALSE)</f>
        <v>36.4</v>
      </c>
      <c r="F30" s="130">
        <f t="shared" si="5"/>
        <v>47.32</v>
      </c>
      <c r="G30" s="10"/>
      <c r="H30" s="129">
        <v>1084.5762711864409</v>
      </c>
      <c r="I30" s="129">
        <f t="shared" si="6"/>
        <v>51322.14915</v>
      </c>
      <c r="J30" s="12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55">
        <v>3.11</v>
      </c>
      <c r="B31" s="21" t="s">
        <v>123</v>
      </c>
      <c r="C31" s="10">
        <f>VLOOKUP(B31,UNIFICADO!$C$7:$F$40,3,FALSE)</f>
        <v>1</v>
      </c>
      <c r="D31" s="10" t="s">
        <v>296</v>
      </c>
      <c r="E31" s="10">
        <f>VLOOKUP(B31,UNIFICADO!$C$7:$F$40,2,FALSE)</f>
        <v>18.2</v>
      </c>
      <c r="F31" s="130">
        <f t="shared" si="5"/>
        <v>23.66</v>
      </c>
      <c r="G31" s="10"/>
      <c r="H31" s="129">
        <v>1084.5762711864409</v>
      </c>
      <c r="I31" s="129">
        <f t="shared" si="6"/>
        <v>25661.07458</v>
      </c>
      <c r="J31" s="12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55">
        <v>3.12</v>
      </c>
      <c r="B32" s="21" t="s">
        <v>322</v>
      </c>
      <c r="C32" s="10"/>
      <c r="D32" s="10" t="s">
        <v>296</v>
      </c>
      <c r="E32" s="10"/>
      <c r="F32" s="130"/>
      <c r="G32" s="10"/>
      <c r="H32" s="129"/>
      <c r="I32" s="129"/>
      <c r="J32" s="12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0">
        <v>4.0</v>
      </c>
      <c r="B33" s="16" t="s">
        <v>323</v>
      </c>
      <c r="C33" s="10"/>
      <c r="D33" s="10"/>
      <c r="E33" s="10"/>
      <c r="F33" s="130"/>
      <c r="G33" s="137" t="str">
        <f>SUM(F34:F39)</f>
        <v>#N/A</v>
      </c>
      <c r="H33" s="129"/>
      <c r="I33" s="129"/>
      <c r="J33" s="129" t="str">
        <f>SUM(I34:I39)</f>
        <v>#N/A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0">
        <v>4.1</v>
      </c>
      <c r="B34" s="16" t="s">
        <v>83</v>
      </c>
      <c r="C34" s="10">
        <f>VLOOKUP(B34,UNIFICADO!$C$7:$F$40,3,FALSE)</f>
        <v>1</v>
      </c>
      <c r="D34" s="10" t="s">
        <v>296</v>
      </c>
      <c r="E34" s="10">
        <f>VLOOKUP(B34,UNIFICADO!$C$7:$F$40,2,FALSE)</f>
        <v>172.5</v>
      </c>
      <c r="F34" s="130">
        <f t="shared" ref="F34:F39" si="7">E34+30%*E34</f>
        <v>224.25</v>
      </c>
      <c r="G34" s="137"/>
      <c r="H34" s="129">
        <v>1084.5762711864409</v>
      </c>
      <c r="I34" s="129">
        <f t="shared" ref="I34:I39" si="8">F34*H34</f>
        <v>243216.2288</v>
      </c>
      <c r="J34" s="12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0">
        <v>4.2</v>
      </c>
      <c r="B35" s="16" t="s">
        <v>145</v>
      </c>
      <c r="C35" s="10">
        <f>VLOOKUP(B35,UNIFICADO!$C$7:$F$40,3,FALSE)</f>
        <v>1</v>
      </c>
      <c r="D35" s="10" t="s">
        <v>296</v>
      </c>
      <c r="E35" s="10">
        <f>VLOOKUP(B35,UNIFICADO!$C$7:$F$40,2,FALSE)</f>
        <v>420</v>
      </c>
      <c r="F35" s="130">
        <f t="shared" si="7"/>
        <v>546</v>
      </c>
      <c r="G35" s="16"/>
      <c r="H35" s="129">
        <v>1084.5762711864409</v>
      </c>
      <c r="I35" s="129">
        <f t="shared" si="8"/>
        <v>592178.6441</v>
      </c>
      <c r="J35" s="146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0">
        <v>4.3</v>
      </c>
      <c r="B36" s="16" t="s">
        <v>338</v>
      </c>
      <c r="C36" s="10" t="str">
        <f>VLOOKUP(B36,UNIFICADO!$C$7:$F$40,3,FALSE)</f>
        <v>#N/A</v>
      </c>
      <c r="D36" s="10" t="s">
        <v>296</v>
      </c>
      <c r="E36" s="10" t="str">
        <f>VLOOKUP(B36,UNIFICADO!$C$7:$F$40,2,FALSE)</f>
        <v>#N/A</v>
      </c>
      <c r="F36" s="130" t="str">
        <f t="shared" si="7"/>
        <v>#N/A</v>
      </c>
      <c r="G36" s="16"/>
      <c r="H36" s="129">
        <v>1084.5762711864409</v>
      </c>
      <c r="I36" s="129" t="str">
        <f t="shared" si="8"/>
        <v>#N/A</v>
      </c>
      <c r="J36" s="14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0">
        <v>4.4</v>
      </c>
      <c r="B37" s="16" t="s">
        <v>158</v>
      </c>
      <c r="C37" s="10">
        <f>VLOOKUP(B37,UNIFICADO!$C$7:$F$40,3,FALSE)</f>
        <v>1</v>
      </c>
      <c r="D37" s="10" t="s">
        <v>296</v>
      </c>
      <c r="E37" s="10">
        <f>VLOOKUP(B37,UNIFICADO!$C$7:$F$40,2,FALSE)</f>
        <v>8.64</v>
      </c>
      <c r="F37" s="130">
        <f t="shared" si="7"/>
        <v>11.232</v>
      </c>
      <c r="G37" s="16"/>
      <c r="H37" s="129">
        <v>1084.5762711864409</v>
      </c>
      <c r="I37" s="129">
        <f t="shared" si="8"/>
        <v>12181.96068</v>
      </c>
      <c r="J37" s="14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0">
        <v>4.5</v>
      </c>
      <c r="B38" s="16" t="s">
        <v>160</v>
      </c>
      <c r="C38" s="10">
        <f>VLOOKUP(B38,UNIFICADO!$C$7:$F$40,3,FALSE)</f>
        <v>1</v>
      </c>
      <c r="D38" s="10" t="s">
        <v>296</v>
      </c>
      <c r="E38" s="10">
        <f>VLOOKUP(B38,UNIFICADO!$C$7:$F$40,2,FALSE)</f>
        <v>8.64</v>
      </c>
      <c r="F38" s="130">
        <f t="shared" si="7"/>
        <v>11.232</v>
      </c>
      <c r="G38" s="16"/>
      <c r="H38" s="129">
        <v>1084.5762711864409</v>
      </c>
      <c r="I38" s="129">
        <f t="shared" si="8"/>
        <v>12181.96068</v>
      </c>
      <c r="J38" s="14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0">
        <v>4.6</v>
      </c>
      <c r="B39" s="16" t="s">
        <v>162</v>
      </c>
      <c r="C39" s="10">
        <f>VLOOKUP(B39,UNIFICADO!$C$7:$F$40,3,FALSE)</f>
        <v>1</v>
      </c>
      <c r="D39" s="10" t="s">
        <v>296</v>
      </c>
      <c r="E39" s="10">
        <f>VLOOKUP(B39,UNIFICADO!$C$7:$F$40,2,FALSE)</f>
        <v>18</v>
      </c>
      <c r="F39" s="130">
        <f t="shared" si="7"/>
        <v>23.4</v>
      </c>
      <c r="G39" s="16"/>
      <c r="H39" s="129">
        <v>1084.5762711864409</v>
      </c>
      <c r="I39" s="129">
        <f t="shared" si="8"/>
        <v>25379.08475</v>
      </c>
      <c r="J39" s="146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0"/>
      <c r="B40" s="64" t="s">
        <v>346</v>
      </c>
      <c r="C40" s="30"/>
      <c r="D40" s="30"/>
      <c r="E40" s="30"/>
      <c r="F40" s="30"/>
      <c r="G40" s="9"/>
      <c r="H40" s="16"/>
      <c r="I40" s="16"/>
      <c r="J40" s="146" t="str">
        <f>SUM(J2:J39)</f>
        <v>#N/A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0"/>
      <c r="B41" s="64" t="s">
        <v>350</v>
      </c>
      <c r="C41" s="30"/>
      <c r="D41" s="30"/>
      <c r="E41" s="30"/>
      <c r="F41" s="30"/>
      <c r="G41" s="9"/>
      <c r="H41" s="16"/>
      <c r="I41" s="16"/>
      <c r="J41" s="146" t="str">
        <f>0.1*J40</f>
        <v>#N/A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0" customHeight="1">
      <c r="A42" s="10"/>
      <c r="B42" s="64" t="s">
        <v>353</v>
      </c>
      <c r="C42" s="30"/>
      <c r="D42" s="30"/>
      <c r="E42" s="30"/>
      <c r="F42" s="30"/>
      <c r="G42" s="9"/>
      <c r="H42" s="16"/>
      <c r="I42" s="16"/>
      <c r="J42" s="146" t="str">
        <f>0.1*J40</f>
        <v>#N/A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0" customHeight="1">
      <c r="A43" s="10"/>
      <c r="B43" s="64" t="s">
        <v>362</v>
      </c>
      <c r="C43" s="30"/>
      <c r="D43" s="30"/>
      <c r="E43" s="30"/>
      <c r="F43" s="30"/>
      <c r="G43" s="9"/>
      <c r="H43" s="16"/>
      <c r="I43" s="16"/>
      <c r="J43" s="146" t="str">
        <f>J40+J41+J42</f>
        <v>#N/A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0"/>
      <c r="B44" s="64" t="s">
        <v>364</v>
      </c>
      <c r="C44" s="30"/>
      <c r="D44" s="30"/>
      <c r="E44" s="30"/>
      <c r="F44" s="30"/>
      <c r="G44" s="9"/>
      <c r="H44" s="16"/>
      <c r="I44" s="16"/>
      <c r="J44" s="146" t="str">
        <f>0.18*J43</f>
        <v>#N/A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0"/>
      <c r="B45" s="64" t="s">
        <v>365</v>
      </c>
      <c r="C45" s="30"/>
      <c r="D45" s="30"/>
      <c r="E45" s="30"/>
      <c r="F45" s="30"/>
      <c r="G45" s="9"/>
      <c r="H45" s="16"/>
      <c r="I45" s="16"/>
      <c r="J45" s="146" t="str">
        <f>J43+J44</f>
        <v>#N/A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5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5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5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5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5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5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5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5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5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5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5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5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5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5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5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5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5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5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5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5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5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5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5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5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5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5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5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5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5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5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5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5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5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5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5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5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5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5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5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5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5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5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5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5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5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5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5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5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5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5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5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5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5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5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5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5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5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5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5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5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5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5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5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5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5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5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5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5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5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5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5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5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5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5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5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5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5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5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5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5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5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5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5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5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5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5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5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5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5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5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5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5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5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5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5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5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5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5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5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5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5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5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5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5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5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5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5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5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5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5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5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5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5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5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5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5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5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5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5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5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5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5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5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5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5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5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5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5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5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5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5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</sheetData>
  <mergeCells count="6">
    <mergeCell ref="B40:G40"/>
    <mergeCell ref="B41:G41"/>
    <mergeCell ref="B42:G42"/>
    <mergeCell ref="B43:G43"/>
    <mergeCell ref="B44:G44"/>
    <mergeCell ref="B45:G45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7.29"/>
    <col customWidth="1" min="3" max="3" width="25.29"/>
    <col customWidth="1" min="8" max="8" width="10.29"/>
    <col customWidth="1" min="11" max="11" width="15.86"/>
  </cols>
  <sheetData>
    <row r="1">
      <c r="B1" s="132"/>
    </row>
    <row r="2">
      <c r="A2" s="133" t="s">
        <v>297</v>
      </c>
      <c r="B2" s="134">
        <v>8.0</v>
      </c>
    </row>
    <row r="3">
      <c r="A3" s="133" t="s">
        <v>299</v>
      </c>
      <c r="B3" s="134">
        <v>1.0</v>
      </c>
    </row>
    <row r="4">
      <c r="A4" s="133" t="s">
        <v>300</v>
      </c>
      <c r="B4" s="134" t="s">
        <v>301</v>
      </c>
    </row>
    <row r="5">
      <c r="A5" s="133" t="s">
        <v>302</v>
      </c>
      <c r="B5" s="134" t="s">
        <v>303</v>
      </c>
    </row>
    <row r="6">
      <c r="A6" s="133" t="s">
        <v>304</v>
      </c>
      <c r="B6" s="135">
        <v>46235.0</v>
      </c>
    </row>
    <row r="7">
      <c r="A7" s="133" t="s">
        <v>305</v>
      </c>
      <c r="B7" s="135">
        <v>46054.0</v>
      </c>
      <c r="R7" s="133" t="s">
        <v>306</v>
      </c>
      <c r="S7" s="133" t="s">
        <v>307</v>
      </c>
      <c r="T7" s="133" t="s">
        <v>308</v>
      </c>
      <c r="U7" s="133" t="s">
        <v>309</v>
      </c>
    </row>
    <row r="8">
      <c r="A8" s="133" t="s">
        <v>310</v>
      </c>
      <c r="B8" s="134" t="s">
        <v>311</v>
      </c>
      <c r="C8" s="133" t="s">
        <v>312</v>
      </c>
    </row>
    <row r="9">
      <c r="B9" s="132"/>
      <c r="R9" s="133" t="s">
        <v>313</v>
      </c>
    </row>
    <row r="10">
      <c r="B10" s="132"/>
      <c r="R10" s="133" t="s">
        <v>314</v>
      </c>
    </row>
    <row r="11">
      <c r="B11" s="132"/>
      <c r="R11" s="133" t="s">
        <v>313</v>
      </c>
    </row>
    <row r="12">
      <c r="B12" s="132"/>
      <c r="R12" s="133" t="s">
        <v>315</v>
      </c>
    </row>
    <row r="13">
      <c r="B13" s="132"/>
    </row>
    <row r="14">
      <c r="B14" s="132"/>
    </row>
    <row r="15">
      <c r="B15" s="132"/>
    </row>
    <row r="16">
      <c r="B16" s="132"/>
    </row>
    <row r="17">
      <c r="B17" s="132"/>
      <c r="AB17" s="136">
        <f>----78-8788+4895</f>
        <v>-3815</v>
      </c>
    </row>
    <row r="18">
      <c r="B18" s="132"/>
    </row>
    <row r="19">
      <c r="B19" s="132"/>
    </row>
    <row r="20">
      <c r="B20" s="132"/>
    </row>
    <row r="21">
      <c r="B21" s="132"/>
    </row>
    <row r="22">
      <c r="B22" s="132"/>
    </row>
    <row r="23">
      <c r="B23" s="132"/>
    </row>
    <row r="24">
      <c r="B24" s="132"/>
    </row>
    <row r="25">
      <c r="B25" s="132"/>
    </row>
    <row r="26">
      <c r="B26" s="132"/>
    </row>
    <row r="27">
      <c r="B27" s="132"/>
    </row>
    <row r="28">
      <c r="B28" s="132"/>
    </row>
    <row r="29">
      <c r="B29" s="132"/>
    </row>
    <row r="30">
      <c r="B30" s="132"/>
    </row>
    <row r="31">
      <c r="B31" s="132"/>
    </row>
    <row r="32">
      <c r="B32" s="132"/>
    </row>
    <row r="33">
      <c r="B33" s="132"/>
    </row>
    <row r="34">
      <c r="B34" s="132"/>
    </row>
    <row r="35">
      <c r="B35" s="132"/>
    </row>
    <row r="36">
      <c r="B36" s="132"/>
    </row>
    <row r="37">
      <c r="B37" s="132"/>
    </row>
    <row r="38">
      <c r="B38" s="132"/>
    </row>
    <row r="39">
      <c r="B39" s="132"/>
    </row>
    <row r="40">
      <c r="B40" s="132"/>
    </row>
    <row r="41">
      <c r="B41" s="132"/>
    </row>
    <row r="42">
      <c r="B42" s="132"/>
    </row>
    <row r="43">
      <c r="B43" s="132"/>
    </row>
    <row r="44">
      <c r="B44" s="132"/>
    </row>
    <row r="45">
      <c r="B45" s="132"/>
    </row>
    <row r="46">
      <c r="B46" s="132"/>
    </row>
    <row r="47">
      <c r="B47" s="132"/>
    </row>
    <row r="48">
      <c r="B48" s="132"/>
    </row>
    <row r="49">
      <c r="B49" s="132"/>
    </row>
    <row r="50">
      <c r="B50" s="132"/>
    </row>
    <row r="51">
      <c r="B51" s="132"/>
    </row>
    <row r="52">
      <c r="B52" s="132"/>
    </row>
    <row r="53">
      <c r="B53" s="132"/>
    </row>
    <row r="54">
      <c r="B54" s="132"/>
    </row>
    <row r="55">
      <c r="B55" s="132"/>
    </row>
    <row r="56">
      <c r="B56" s="132"/>
    </row>
    <row r="57">
      <c r="B57" s="132"/>
    </row>
    <row r="58">
      <c r="B58" s="132"/>
    </row>
    <row r="59">
      <c r="B59" s="132"/>
    </row>
    <row r="60">
      <c r="B60" s="132"/>
    </row>
    <row r="61">
      <c r="B61" s="132"/>
    </row>
    <row r="62">
      <c r="B62" s="132"/>
    </row>
    <row r="63">
      <c r="B63" s="132"/>
    </row>
    <row r="64">
      <c r="B64" s="132"/>
    </row>
    <row r="65">
      <c r="B65" s="132"/>
    </row>
    <row r="66">
      <c r="B66" s="132"/>
    </row>
    <row r="67">
      <c r="B67" s="132"/>
    </row>
    <row r="68">
      <c r="B68" s="132"/>
    </row>
    <row r="69">
      <c r="B69" s="132"/>
    </row>
    <row r="70">
      <c r="B70" s="132"/>
    </row>
    <row r="71">
      <c r="B71" s="132"/>
    </row>
    <row r="72">
      <c r="B72" s="132"/>
    </row>
    <row r="73">
      <c r="B73" s="132"/>
    </row>
    <row r="74">
      <c r="B74" s="132"/>
    </row>
    <row r="75">
      <c r="B75" s="132"/>
    </row>
    <row r="76">
      <c r="B76" s="132"/>
    </row>
    <row r="77">
      <c r="B77" s="132"/>
    </row>
    <row r="78">
      <c r="B78" s="132"/>
    </row>
    <row r="79">
      <c r="B79" s="132"/>
    </row>
    <row r="80">
      <c r="B80" s="132"/>
    </row>
    <row r="81">
      <c r="B81" s="132"/>
    </row>
    <row r="82">
      <c r="B82" s="132"/>
    </row>
    <row r="83">
      <c r="B83" s="132"/>
    </row>
    <row r="84">
      <c r="B84" s="132"/>
    </row>
    <row r="85">
      <c r="B85" s="132"/>
    </row>
    <row r="86">
      <c r="B86" s="132"/>
    </row>
    <row r="87">
      <c r="B87" s="132"/>
    </row>
    <row r="88">
      <c r="B88" s="132"/>
    </row>
    <row r="89">
      <c r="B89" s="132"/>
    </row>
    <row r="90">
      <c r="B90" s="132"/>
    </row>
    <row r="91">
      <c r="B91" s="132"/>
    </row>
    <row r="92">
      <c r="B92" s="132"/>
    </row>
    <row r="93">
      <c r="B93" s="132"/>
    </row>
    <row r="94">
      <c r="B94" s="132"/>
    </row>
    <row r="95">
      <c r="B95" s="132"/>
    </row>
    <row r="96">
      <c r="B96" s="132"/>
    </row>
    <row r="97">
      <c r="B97" s="132"/>
    </row>
    <row r="98">
      <c r="B98" s="132"/>
    </row>
    <row r="99">
      <c r="B99" s="132"/>
    </row>
    <row r="100">
      <c r="B100" s="132"/>
    </row>
    <row r="101">
      <c r="B101" s="132"/>
    </row>
    <row r="102">
      <c r="B102" s="132"/>
    </row>
    <row r="103">
      <c r="B103" s="132"/>
    </row>
    <row r="104">
      <c r="B104" s="132"/>
    </row>
    <row r="105">
      <c r="B105" s="132"/>
    </row>
    <row r="106">
      <c r="B106" s="132"/>
    </row>
    <row r="107">
      <c r="B107" s="132"/>
    </row>
    <row r="108">
      <c r="B108" s="132"/>
    </row>
    <row r="109">
      <c r="B109" s="132"/>
    </row>
    <row r="110">
      <c r="B110" s="132"/>
    </row>
    <row r="111">
      <c r="B111" s="132"/>
    </row>
    <row r="112">
      <c r="B112" s="132"/>
    </row>
    <row r="113">
      <c r="B113" s="132"/>
    </row>
    <row r="114">
      <c r="B114" s="132"/>
    </row>
    <row r="115">
      <c r="B115" s="132"/>
    </row>
    <row r="116">
      <c r="B116" s="132"/>
    </row>
    <row r="117">
      <c r="B117" s="132"/>
    </row>
    <row r="118">
      <c r="B118" s="132"/>
    </row>
    <row r="119">
      <c r="B119" s="132"/>
    </row>
    <row r="120">
      <c r="B120" s="132"/>
    </row>
    <row r="121">
      <c r="B121" s="132"/>
    </row>
    <row r="122">
      <c r="B122" s="132"/>
    </row>
    <row r="123">
      <c r="B123" s="132"/>
    </row>
    <row r="124">
      <c r="B124" s="132"/>
    </row>
    <row r="125">
      <c r="B125" s="132"/>
    </row>
    <row r="126">
      <c r="B126" s="132"/>
    </row>
    <row r="127">
      <c r="B127" s="132"/>
    </row>
    <row r="128">
      <c r="B128" s="132"/>
    </row>
    <row r="129">
      <c r="B129" s="132"/>
    </row>
    <row r="130">
      <c r="B130" s="132"/>
    </row>
    <row r="131">
      <c r="B131" s="132"/>
    </row>
    <row r="132">
      <c r="B132" s="132"/>
    </row>
    <row r="133">
      <c r="B133" s="132"/>
    </row>
    <row r="134">
      <c r="B134" s="132"/>
    </row>
    <row r="135">
      <c r="B135" s="132"/>
    </row>
    <row r="136">
      <c r="B136" s="132"/>
    </row>
    <row r="137">
      <c r="B137" s="132"/>
    </row>
    <row r="138">
      <c r="B138" s="132"/>
    </row>
    <row r="139">
      <c r="B139" s="132"/>
    </row>
    <row r="140">
      <c r="B140" s="132"/>
    </row>
    <row r="141">
      <c r="B141" s="132"/>
    </row>
    <row r="142">
      <c r="B142" s="132"/>
    </row>
    <row r="143">
      <c r="B143" s="132"/>
    </row>
    <row r="144">
      <c r="B144" s="132"/>
    </row>
    <row r="145">
      <c r="B145" s="132"/>
    </row>
    <row r="146">
      <c r="B146" s="132"/>
    </row>
    <row r="147">
      <c r="B147" s="132"/>
    </row>
    <row r="148">
      <c r="B148" s="132"/>
    </row>
    <row r="149">
      <c r="B149" s="132"/>
    </row>
    <row r="150">
      <c r="B150" s="132"/>
    </row>
    <row r="151">
      <c r="B151" s="132"/>
    </row>
    <row r="152">
      <c r="B152" s="132"/>
    </row>
    <row r="153">
      <c r="B153" s="132"/>
    </row>
    <row r="154">
      <c r="B154" s="132"/>
    </row>
    <row r="155">
      <c r="B155" s="132"/>
    </row>
    <row r="156">
      <c r="B156" s="132"/>
    </row>
    <row r="157">
      <c r="B157" s="132"/>
    </row>
    <row r="158">
      <c r="B158" s="132"/>
    </row>
    <row r="159">
      <c r="B159" s="132"/>
    </row>
    <row r="160">
      <c r="B160" s="132"/>
    </row>
    <row r="161">
      <c r="B161" s="132"/>
    </row>
    <row r="162">
      <c r="B162" s="132"/>
    </row>
    <row r="163">
      <c r="B163" s="132"/>
    </row>
    <row r="164">
      <c r="B164" s="132"/>
    </row>
    <row r="165">
      <c r="B165" s="132"/>
    </row>
    <row r="166">
      <c r="B166" s="132"/>
    </row>
    <row r="167">
      <c r="B167" s="132"/>
    </row>
    <row r="168">
      <c r="B168" s="132"/>
    </row>
    <row r="169">
      <c r="B169" s="132"/>
    </row>
    <row r="170">
      <c r="B170" s="132"/>
    </row>
    <row r="171">
      <c r="B171" s="132"/>
    </row>
    <row r="172">
      <c r="B172" s="132"/>
    </row>
    <row r="173">
      <c r="B173" s="132"/>
    </row>
    <row r="174">
      <c r="B174" s="132"/>
    </row>
    <row r="175">
      <c r="B175" s="132"/>
    </row>
    <row r="176">
      <c r="B176" s="132"/>
    </row>
    <row r="177">
      <c r="B177" s="132"/>
    </row>
    <row r="178">
      <c r="B178" s="132"/>
    </row>
    <row r="179">
      <c r="B179" s="132"/>
    </row>
    <row r="180">
      <c r="B180" s="132"/>
    </row>
    <row r="181">
      <c r="B181" s="132"/>
    </row>
    <row r="182">
      <c r="B182" s="132"/>
    </row>
    <row r="183">
      <c r="B183" s="132"/>
    </row>
    <row r="184">
      <c r="B184" s="132"/>
      <c r="AB184" s="133" t="s">
        <v>313</v>
      </c>
    </row>
    <row r="185">
      <c r="B185" s="132"/>
    </row>
    <row r="186">
      <c r="B186" s="132"/>
    </row>
    <row r="187">
      <c r="B187" s="132"/>
    </row>
    <row r="188">
      <c r="B188" s="132"/>
    </row>
    <row r="189">
      <c r="B189" s="132"/>
    </row>
    <row r="190">
      <c r="B190" s="132"/>
    </row>
    <row r="191">
      <c r="B191" s="132"/>
    </row>
    <row r="192">
      <c r="B192" s="132"/>
    </row>
    <row r="193">
      <c r="B193" s="132"/>
    </row>
    <row r="194">
      <c r="B194" s="132"/>
    </row>
    <row r="195">
      <c r="B195" s="132"/>
    </row>
    <row r="196">
      <c r="B196" s="132"/>
    </row>
    <row r="197">
      <c r="B197" s="132"/>
    </row>
    <row r="198">
      <c r="B198" s="132"/>
    </row>
    <row r="199">
      <c r="B199" s="132"/>
    </row>
    <row r="200">
      <c r="B200" s="132"/>
    </row>
    <row r="201">
      <c r="B201" s="132"/>
    </row>
    <row r="202">
      <c r="B202" s="132"/>
    </row>
    <row r="203">
      <c r="B203" s="132"/>
    </row>
    <row r="204">
      <c r="B204" s="132"/>
    </row>
    <row r="205">
      <c r="B205" s="132"/>
    </row>
    <row r="206">
      <c r="B206" s="132"/>
    </row>
    <row r="207">
      <c r="B207" s="132"/>
    </row>
    <row r="208">
      <c r="B208" s="132"/>
    </row>
    <row r="209">
      <c r="B209" s="132"/>
    </row>
    <row r="210">
      <c r="B210" s="132"/>
    </row>
    <row r="211">
      <c r="B211" s="132"/>
    </row>
    <row r="212">
      <c r="B212" s="132"/>
    </row>
    <row r="213">
      <c r="B213" s="132"/>
    </row>
    <row r="214">
      <c r="B214" s="132"/>
    </row>
    <row r="215">
      <c r="B215" s="132"/>
    </row>
    <row r="216">
      <c r="B216" s="132"/>
    </row>
    <row r="217">
      <c r="B217" s="132"/>
    </row>
    <row r="218">
      <c r="B218" s="132"/>
    </row>
    <row r="219">
      <c r="B219" s="132"/>
    </row>
    <row r="220">
      <c r="B220" s="132"/>
    </row>
    <row r="221">
      <c r="B221" s="132"/>
    </row>
    <row r="222">
      <c r="B222" s="132"/>
    </row>
    <row r="223">
      <c r="B223" s="132"/>
    </row>
    <row r="224">
      <c r="B224" s="132"/>
    </row>
    <row r="225">
      <c r="B225" s="132"/>
    </row>
    <row r="226">
      <c r="B226" s="132"/>
    </row>
    <row r="227">
      <c r="B227" s="132"/>
    </row>
    <row r="228">
      <c r="B228" s="132"/>
    </row>
    <row r="229">
      <c r="B229" s="132"/>
    </row>
    <row r="230">
      <c r="B230" s="132"/>
    </row>
    <row r="231">
      <c r="B231" s="132"/>
    </row>
    <row r="232">
      <c r="B232" s="132"/>
    </row>
    <row r="233">
      <c r="B233" s="132"/>
    </row>
    <row r="234">
      <c r="B234" s="132"/>
    </row>
    <row r="235">
      <c r="B235" s="132"/>
    </row>
    <row r="236">
      <c r="B236" s="132"/>
    </row>
    <row r="237">
      <c r="B237" s="132"/>
    </row>
    <row r="238">
      <c r="B238" s="132"/>
    </row>
    <row r="239">
      <c r="B239" s="132"/>
    </row>
    <row r="240">
      <c r="B240" s="132"/>
    </row>
    <row r="241">
      <c r="B241" s="132"/>
    </row>
    <row r="242">
      <c r="B242" s="132"/>
    </row>
    <row r="243">
      <c r="B243" s="132"/>
    </row>
    <row r="244">
      <c r="B244" s="132"/>
    </row>
    <row r="245">
      <c r="B245" s="132"/>
    </row>
    <row r="246">
      <c r="B246" s="132"/>
    </row>
    <row r="247">
      <c r="B247" s="132"/>
    </row>
    <row r="248">
      <c r="B248" s="132"/>
    </row>
    <row r="249">
      <c r="B249" s="132"/>
    </row>
    <row r="250">
      <c r="B250" s="132"/>
    </row>
    <row r="251">
      <c r="B251" s="132"/>
    </row>
    <row r="252">
      <c r="B252" s="132"/>
    </row>
    <row r="253">
      <c r="B253" s="132"/>
    </row>
    <row r="254">
      <c r="B254" s="132"/>
    </row>
    <row r="255">
      <c r="B255" s="132"/>
    </row>
    <row r="256">
      <c r="B256" s="132"/>
    </row>
    <row r="257">
      <c r="B257" s="132"/>
    </row>
    <row r="258">
      <c r="B258" s="132"/>
    </row>
    <row r="259">
      <c r="B259" s="132"/>
    </row>
    <row r="260">
      <c r="B260" s="132"/>
    </row>
    <row r="261">
      <c r="B261" s="132"/>
    </row>
    <row r="262">
      <c r="B262" s="132"/>
    </row>
    <row r="263">
      <c r="B263" s="132"/>
    </row>
    <row r="264">
      <c r="B264" s="132"/>
    </row>
    <row r="265">
      <c r="B265" s="132"/>
    </row>
    <row r="266">
      <c r="B266" s="132"/>
    </row>
    <row r="267">
      <c r="B267" s="132"/>
    </row>
    <row r="268">
      <c r="B268" s="132"/>
    </row>
    <row r="269">
      <c r="B269" s="132"/>
    </row>
    <row r="270">
      <c r="B270" s="132"/>
    </row>
    <row r="271">
      <c r="B271" s="132"/>
    </row>
    <row r="272">
      <c r="B272" s="132"/>
    </row>
    <row r="273">
      <c r="B273" s="132"/>
    </row>
    <row r="274">
      <c r="B274" s="132"/>
    </row>
    <row r="275">
      <c r="B275" s="132"/>
    </row>
    <row r="276">
      <c r="B276" s="132"/>
    </row>
    <row r="277">
      <c r="B277" s="132"/>
    </row>
    <row r="278">
      <c r="B278" s="132"/>
    </row>
    <row r="279">
      <c r="B279" s="132"/>
    </row>
    <row r="280">
      <c r="B280" s="132"/>
    </row>
    <row r="281">
      <c r="B281" s="132"/>
    </row>
    <row r="282">
      <c r="B282" s="132"/>
    </row>
    <row r="283">
      <c r="B283" s="132"/>
    </row>
    <row r="284">
      <c r="B284" s="132"/>
    </row>
    <row r="285">
      <c r="B285" s="132"/>
    </row>
    <row r="286">
      <c r="B286" s="132"/>
    </row>
    <row r="287">
      <c r="B287" s="132"/>
    </row>
    <row r="288">
      <c r="B288" s="132"/>
    </row>
    <row r="289">
      <c r="B289" s="132"/>
    </row>
    <row r="290">
      <c r="B290" s="132"/>
    </row>
    <row r="291">
      <c r="B291" s="132"/>
    </row>
    <row r="292">
      <c r="B292" s="132"/>
    </row>
    <row r="293">
      <c r="B293" s="132"/>
    </row>
    <row r="294">
      <c r="B294" s="132"/>
    </row>
    <row r="295">
      <c r="B295" s="132"/>
    </row>
    <row r="296">
      <c r="B296" s="132"/>
    </row>
    <row r="297">
      <c r="B297" s="132"/>
    </row>
    <row r="298">
      <c r="B298" s="132"/>
    </row>
    <row r="299">
      <c r="B299" s="132"/>
    </row>
    <row r="300">
      <c r="B300" s="132"/>
    </row>
    <row r="301">
      <c r="B301" s="132"/>
    </row>
    <row r="302">
      <c r="B302" s="132"/>
    </row>
    <row r="303">
      <c r="B303" s="132"/>
    </row>
    <row r="304">
      <c r="B304" s="132"/>
    </row>
    <row r="305">
      <c r="B305" s="132"/>
    </row>
    <row r="306">
      <c r="B306" s="132"/>
    </row>
    <row r="307">
      <c r="B307" s="132"/>
    </row>
    <row r="308">
      <c r="B308" s="132"/>
    </row>
    <row r="309">
      <c r="B309" s="132"/>
    </row>
    <row r="310">
      <c r="B310" s="132"/>
    </row>
    <row r="311">
      <c r="B311" s="132"/>
    </row>
    <row r="312">
      <c r="B312" s="132"/>
    </row>
    <row r="313">
      <c r="B313" s="132"/>
    </row>
    <row r="314">
      <c r="B314" s="132"/>
    </row>
    <row r="315">
      <c r="B315" s="132"/>
    </row>
    <row r="316">
      <c r="B316" s="132"/>
    </row>
    <row r="317">
      <c r="B317" s="132"/>
    </row>
    <row r="318">
      <c r="B318" s="132"/>
    </row>
    <row r="319">
      <c r="B319" s="132"/>
    </row>
    <row r="320">
      <c r="B320" s="132"/>
    </row>
    <row r="321">
      <c r="B321" s="132"/>
    </row>
    <row r="322">
      <c r="B322" s="132"/>
    </row>
    <row r="323">
      <c r="B323" s="132"/>
    </row>
    <row r="324">
      <c r="B324" s="132"/>
    </row>
    <row r="325">
      <c r="B325" s="132"/>
    </row>
    <row r="326">
      <c r="B326" s="132"/>
    </row>
    <row r="327">
      <c r="B327" s="132"/>
    </row>
    <row r="328">
      <c r="B328" s="132"/>
    </row>
    <row r="329">
      <c r="B329" s="132"/>
    </row>
    <row r="330">
      <c r="B330" s="132"/>
    </row>
    <row r="331">
      <c r="B331" s="132"/>
    </row>
    <row r="332">
      <c r="B332" s="132"/>
    </row>
    <row r="333">
      <c r="B333" s="132"/>
    </row>
    <row r="334">
      <c r="B334" s="132"/>
    </row>
    <row r="335">
      <c r="B335" s="132"/>
    </row>
    <row r="336">
      <c r="B336" s="132"/>
    </row>
    <row r="337">
      <c r="B337" s="132"/>
    </row>
    <row r="338">
      <c r="B338" s="132"/>
    </row>
    <row r="339">
      <c r="B339" s="132"/>
    </row>
    <row r="340">
      <c r="B340" s="132"/>
    </row>
    <row r="341">
      <c r="B341" s="132"/>
    </row>
    <row r="342">
      <c r="B342" s="132"/>
    </row>
    <row r="343">
      <c r="B343" s="132"/>
    </row>
    <row r="344">
      <c r="B344" s="132"/>
    </row>
    <row r="345">
      <c r="B345" s="132"/>
    </row>
    <row r="346">
      <c r="B346" s="132"/>
    </row>
    <row r="347">
      <c r="B347" s="132"/>
    </row>
    <row r="348">
      <c r="B348" s="132"/>
    </row>
    <row r="349">
      <c r="B349" s="132"/>
    </row>
    <row r="350">
      <c r="B350" s="132"/>
    </row>
    <row r="351">
      <c r="B351" s="132"/>
    </row>
    <row r="352">
      <c r="B352" s="132"/>
    </row>
    <row r="353">
      <c r="B353" s="132"/>
    </row>
    <row r="354">
      <c r="B354" s="132"/>
    </row>
    <row r="355">
      <c r="B355" s="132"/>
    </row>
    <row r="356">
      <c r="B356" s="132"/>
    </row>
    <row r="357">
      <c r="B357" s="132"/>
    </row>
    <row r="358">
      <c r="B358" s="132"/>
    </row>
    <row r="359">
      <c r="B359" s="132"/>
    </row>
    <row r="360">
      <c r="B360" s="132"/>
    </row>
    <row r="361">
      <c r="B361" s="132"/>
    </row>
    <row r="362">
      <c r="B362" s="132"/>
    </row>
    <row r="363">
      <c r="B363" s="132"/>
    </row>
    <row r="364">
      <c r="B364" s="132"/>
    </row>
    <row r="365">
      <c r="B365" s="132"/>
    </row>
    <row r="366">
      <c r="B366" s="132"/>
    </row>
    <row r="367">
      <c r="B367" s="132"/>
    </row>
    <row r="368">
      <c r="B368" s="132"/>
    </row>
    <row r="369">
      <c r="B369" s="132"/>
    </row>
    <row r="370">
      <c r="B370" s="132"/>
    </row>
    <row r="371">
      <c r="B371" s="132"/>
    </row>
    <row r="372">
      <c r="B372" s="132"/>
    </row>
    <row r="373">
      <c r="B373" s="132"/>
    </row>
    <row r="374">
      <c r="B374" s="132"/>
    </row>
    <row r="375">
      <c r="B375" s="132"/>
    </row>
    <row r="376">
      <c r="B376" s="132"/>
    </row>
    <row r="377">
      <c r="B377" s="132"/>
    </row>
    <row r="378">
      <c r="B378" s="132"/>
    </row>
    <row r="379">
      <c r="B379" s="132"/>
    </row>
    <row r="380">
      <c r="B380" s="132"/>
    </row>
    <row r="381">
      <c r="B381" s="132"/>
    </row>
    <row r="382">
      <c r="B382" s="132"/>
    </row>
    <row r="383">
      <c r="B383" s="132"/>
    </row>
    <row r="384">
      <c r="B384" s="132"/>
    </row>
    <row r="385">
      <c r="B385" s="132"/>
    </row>
    <row r="386">
      <c r="B386" s="132"/>
    </row>
    <row r="387">
      <c r="B387" s="132"/>
    </row>
    <row r="388">
      <c r="B388" s="132"/>
    </row>
    <row r="389">
      <c r="B389" s="132"/>
    </row>
    <row r="390">
      <c r="B390" s="132"/>
    </row>
    <row r="391">
      <c r="B391" s="132"/>
    </row>
    <row r="392">
      <c r="B392" s="132"/>
    </row>
    <row r="393">
      <c r="B393" s="132"/>
    </row>
    <row r="394">
      <c r="B394" s="132"/>
    </row>
    <row r="395">
      <c r="B395" s="132"/>
    </row>
    <row r="396">
      <c r="B396" s="132"/>
    </row>
    <row r="397">
      <c r="B397" s="132"/>
    </row>
    <row r="398">
      <c r="B398" s="132"/>
    </row>
    <row r="399">
      <c r="B399" s="132"/>
    </row>
    <row r="400">
      <c r="B400" s="132"/>
    </row>
    <row r="401">
      <c r="B401" s="132"/>
    </row>
    <row r="402">
      <c r="B402" s="132"/>
    </row>
    <row r="403">
      <c r="B403" s="132"/>
    </row>
    <row r="404">
      <c r="B404" s="132"/>
    </row>
    <row r="405">
      <c r="B405" s="132"/>
    </row>
    <row r="406">
      <c r="B406" s="132"/>
    </row>
    <row r="407">
      <c r="B407" s="132"/>
    </row>
    <row r="408">
      <c r="B408" s="132"/>
    </row>
    <row r="409">
      <c r="B409" s="132"/>
    </row>
    <row r="410">
      <c r="B410" s="132"/>
    </row>
    <row r="411">
      <c r="B411" s="132"/>
    </row>
    <row r="412">
      <c r="B412" s="132"/>
    </row>
    <row r="413">
      <c r="B413" s="132"/>
    </row>
    <row r="414">
      <c r="B414" s="132"/>
    </row>
    <row r="415">
      <c r="B415" s="132"/>
    </row>
    <row r="416">
      <c r="B416" s="132"/>
    </row>
    <row r="417">
      <c r="B417" s="132"/>
    </row>
    <row r="418">
      <c r="B418" s="132"/>
    </row>
    <row r="419">
      <c r="B419" s="132"/>
    </row>
    <row r="420">
      <c r="B420" s="132"/>
    </row>
    <row r="421">
      <c r="B421" s="132"/>
    </row>
    <row r="422">
      <c r="B422" s="132"/>
    </row>
    <row r="423">
      <c r="B423" s="132"/>
    </row>
    <row r="424">
      <c r="B424" s="132"/>
    </row>
    <row r="425">
      <c r="B425" s="132"/>
    </row>
    <row r="426">
      <c r="B426" s="132"/>
    </row>
    <row r="427">
      <c r="B427" s="132"/>
    </row>
    <row r="428">
      <c r="B428" s="132"/>
    </row>
    <row r="429">
      <c r="B429" s="132"/>
    </row>
    <row r="430">
      <c r="B430" s="132"/>
    </row>
    <row r="431">
      <c r="B431" s="132"/>
    </row>
    <row r="432">
      <c r="B432" s="132"/>
    </row>
    <row r="433">
      <c r="B433" s="132"/>
    </row>
    <row r="434">
      <c r="B434" s="132"/>
    </row>
    <row r="435">
      <c r="B435" s="132"/>
    </row>
    <row r="436">
      <c r="B436" s="132"/>
    </row>
    <row r="437">
      <c r="B437" s="132"/>
    </row>
    <row r="438">
      <c r="B438" s="132"/>
    </row>
    <row r="439">
      <c r="B439" s="132"/>
    </row>
    <row r="440">
      <c r="B440" s="132"/>
    </row>
    <row r="441">
      <c r="B441" s="132"/>
    </row>
    <row r="442">
      <c r="B442" s="132"/>
    </row>
    <row r="443">
      <c r="B443" s="132"/>
    </row>
    <row r="444">
      <c r="B444" s="132"/>
    </row>
    <row r="445">
      <c r="B445" s="132"/>
    </row>
    <row r="446">
      <c r="B446" s="132"/>
    </row>
    <row r="447">
      <c r="B447" s="132"/>
    </row>
    <row r="448">
      <c r="B448" s="132"/>
    </row>
    <row r="449">
      <c r="B449" s="132"/>
    </row>
    <row r="450">
      <c r="B450" s="132"/>
    </row>
    <row r="451">
      <c r="B451" s="132"/>
    </row>
    <row r="452">
      <c r="B452" s="132"/>
    </row>
    <row r="453">
      <c r="B453" s="132"/>
    </row>
    <row r="454">
      <c r="B454" s="132"/>
    </row>
    <row r="455">
      <c r="B455" s="132"/>
    </row>
    <row r="456">
      <c r="B456" s="132"/>
    </row>
    <row r="457">
      <c r="B457" s="132"/>
    </row>
    <row r="458">
      <c r="B458" s="132"/>
    </row>
    <row r="459">
      <c r="B459" s="132"/>
    </row>
    <row r="460">
      <c r="B460" s="132"/>
    </row>
    <row r="461">
      <c r="B461" s="132"/>
    </row>
    <row r="462">
      <c r="B462" s="132"/>
    </row>
    <row r="463">
      <c r="B463" s="132"/>
    </row>
    <row r="464">
      <c r="B464" s="132"/>
    </row>
    <row r="465">
      <c r="B465" s="132"/>
    </row>
    <row r="466">
      <c r="B466" s="132"/>
    </row>
    <row r="467">
      <c r="B467" s="132"/>
    </row>
    <row r="468">
      <c r="B468" s="132"/>
    </row>
    <row r="469">
      <c r="B469" s="132"/>
    </row>
    <row r="470">
      <c r="B470" s="132"/>
    </row>
    <row r="471">
      <c r="B471" s="132"/>
    </row>
    <row r="472">
      <c r="B472" s="132"/>
    </row>
    <row r="473">
      <c r="B473" s="132"/>
    </row>
    <row r="474">
      <c r="B474" s="132"/>
    </row>
    <row r="475">
      <c r="B475" s="132"/>
    </row>
    <row r="476">
      <c r="B476" s="132"/>
    </row>
    <row r="477">
      <c r="B477" s="132"/>
    </row>
    <row r="478">
      <c r="B478" s="132"/>
    </row>
    <row r="479">
      <c r="B479" s="132"/>
    </row>
    <row r="480">
      <c r="B480" s="132"/>
    </row>
    <row r="481">
      <c r="B481" s="132"/>
    </row>
    <row r="482">
      <c r="B482" s="132"/>
    </row>
    <row r="483">
      <c r="B483" s="132"/>
    </row>
    <row r="484">
      <c r="B484" s="132"/>
    </row>
    <row r="485">
      <c r="B485" s="132"/>
    </row>
    <row r="486">
      <c r="B486" s="132"/>
    </row>
    <row r="487">
      <c r="B487" s="132"/>
    </row>
    <row r="488">
      <c r="B488" s="132"/>
    </row>
    <row r="489">
      <c r="B489" s="132"/>
    </row>
    <row r="490">
      <c r="B490" s="132"/>
    </row>
    <row r="491">
      <c r="B491" s="132"/>
    </row>
    <row r="492">
      <c r="B492" s="132"/>
    </row>
    <row r="493">
      <c r="B493" s="132"/>
    </row>
    <row r="494">
      <c r="B494" s="132"/>
    </row>
    <row r="495">
      <c r="B495" s="132"/>
    </row>
    <row r="496">
      <c r="B496" s="132"/>
    </row>
    <row r="497">
      <c r="B497" s="132"/>
    </row>
    <row r="498">
      <c r="B498" s="132"/>
    </row>
    <row r="499">
      <c r="B499" s="132"/>
    </row>
    <row r="500">
      <c r="B500" s="132"/>
    </row>
    <row r="501">
      <c r="B501" s="132"/>
    </row>
    <row r="502">
      <c r="B502" s="132"/>
    </row>
    <row r="503">
      <c r="B503" s="132"/>
    </row>
    <row r="504">
      <c r="B504" s="132"/>
    </row>
    <row r="505">
      <c r="B505" s="132"/>
    </row>
    <row r="506">
      <c r="B506" s="132"/>
    </row>
    <row r="507">
      <c r="B507" s="132"/>
    </row>
    <row r="508">
      <c r="B508" s="132"/>
    </row>
    <row r="509">
      <c r="B509" s="132"/>
    </row>
    <row r="510">
      <c r="B510" s="132"/>
    </row>
    <row r="511">
      <c r="B511" s="132"/>
    </row>
    <row r="512">
      <c r="B512" s="132"/>
    </row>
    <row r="513">
      <c r="B513" s="132"/>
    </row>
    <row r="514">
      <c r="B514" s="132"/>
    </row>
    <row r="515">
      <c r="B515" s="132"/>
    </row>
    <row r="516">
      <c r="B516" s="132"/>
    </row>
    <row r="517">
      <c r="B517" s="132"/>
    </row>
    <row r="518">
      <c r="B518" s="132"/>
    </row>
    <row r="519">
      <c r="B519" s="132"/>
    </row>
    <row r="520">
      <c r="B520" s="132"/>
    </row>
    <row r="521">
      <c r="B521" s="132"/>
    </row>
    <row r="522">
      <c r="B522" s="132"/>
    </row>
    <row r="523">
      <c r="B523" s="132"/>
    </row>
    <row r="524">
      <c r="B524" s="132"/>
    </row>
    <row r="525">
      <c r="B525" s="132"/>
    </row>
    <row r="526">
      <c r="B526" s="132"/>
    </row>
    <row r="527">
      <c r="B527" s="132"/>
    </row>
    <row r="528">
      <c r="B528" s="132"/>
    </row>
    <row r="529">
      <c r="B529" s="132"/>
    </row>
    <row r="530">
      <c r="B530" s="132"/>
    </row>
    <row r="531">
      <c r="B531" s="132"/>
    </row>
    <row r="532">
      <c r="B532" s="132"/>
    </row>
    <row r="533">
      <c r="B533" s="132"/>
    </row>
    <row r="534">
      <c r="B534" s="132"/>
    </row>
    <row r="535">
      <c r="B535" s="132"/>
    </row>
    <row r="536">
      <c r="B536" s="132"/>
    </row>
    <row r="537">
      <c r="B537" s="132"/>
    </row>
    <row r="538">
      <c r="B538" s="132"/>
    </row>
    <row r="539">
      <c r="B539" s="132"/>
    </row>
    <row r="540">
      <c r="B540" s="132"/>
    </row>
    <row r="541">
      <c r="B541" s="132"/>
    </row>
    <row r="542">
      <c r="B542" s="132"/>
    </row>
    <row r="543">
      <c r="B543" s="132"/>
    </row>
    <row r="544">
      <c r="B544" s="132"/>
    </row>
    <row r="545">
      <c r="B545" s="132"/>
    </row>
    <row r="546">
      <c r="B546" s="132"/>
    </row>
    <row r="547">
      <c r="B547" s="132"/>
    </row>
    <row r="548">
      <c r="B548" s="132"/>
    </row>
    <row r="549">
      <c r="B549" s="132"/>
    </row>
    <row r="550">
      <c r="B550" s="132"/>
    </row>
    <row r="551">
      <c r="B551" s="132"/>
    </row>
    <row r="552">
      <c r="B552" s="132"/>
    </row>
    <row r="553">
      <c r="B553" s="132"/>
    </row>
    <row r="554">
      <c r="B554" s="132"/>
    </row>
    <row r="555">
      <c r="B555" s="132"/>
    </row>
    <row r="556">
      <c r="B556" s="132"/>
    </row>
    <row r="557">
      <c r="B557" s="132"/>
    </row>
    <row r="558">
      <c r="B558" s="132"/>
    </row>
    <row r="559">
      <c r="B559" s="132"/>
    </row>
    <row r="560">
      <c r="B560" s="132"/>
    </row>
    <row r="561">
      <c r="B561" s="132"/>
    </row>
    <row r="562">
      <c r="B562" s="132"/>
    </row>
    <row r="563">
      <c r="B563" s="132"/>
    </row>
    <row r="564">
      <c r="B564" s="132"/>
    </row>
    <row r="565">
      <c r="B565" s="132"/>
    </row>
    <row r="566">
      <c r="B566" s="132"/>
    </row>
    <row r="567">
      <c r="B567" s="132"/>
    </row>
    <row r="568">
      <c r="B568" s="132"/>
    </row>
    <row r="569">
      <c r="B569" s="132"/>
    </row>
    <row r="570">
      <c r="B570" s="132"/>
    </row>
    <row r="571">
      <c r="B571" s="132"/>
    </row>
    <row r="572">
      <c r="B572" s="132"/>
    </row>
    <row r="573">
      <c r="B573" s="132"/>
    </row>
    <row r="574">
      <c r="B574" s="132"/>
    </row>
    <row r="575">
      <c r="B575" s="132"/>
    </row>
    <row r="576">
      <c r="B576" s="132"/>
    </row>
    <row r="577">
      <c r="B577" s="132"/>
    </row>
    <row r="578">
      <c r="B578" s="132"/>
    </row>
    <row r="579">
      <c r="B579" s="132"/>
    </row>
    <row r="580">
      <c r="B580" s="132"/>
    </row>
    <row r="581">
      <c r="B581" s="132"/>
    </row>
    <row r="582">
      <c r="B582" s="132"/>
    </row>
    <row r="583">
      <c r="B583" s="132"/>
    </row>
    <row r="584">
      <c r="B584" s="132"/>
    </row>
    <row r="585">
      <c r="B585" s="132"/>
    </row>
    <row r="586">
      <c r="B586" s="132"/>
    </row>
    <row r="587">
      <c r="B587" s="132"/>
    </row>
    <row r="588">
      <c r="B588" s="132"/>
    </row>
    <row r="589">
      <c r="B589" s="132"/>
    </row>
    <row r="590">
      <c r="B590" s="132"/>
    </row>
    <row r="591">
      <c r="B591" s="132"/>
    </row>
    <row r="592">
      <c r="B592" s="132"/>
    </row>
    <row r="593">
      <c r="B593" s="132"/>
    </row>
    <row r="594">
      <c r="B594" s="132"/>
    </row>
    <row r="595">
      <c r="B595" s="132"/>
    </row>
    <row r="596">
      <c r="B596" s="132"/>
    </row>
    <row r="597">
      <c r="B597" s="132"/>
    </row>
    <row r="598">
      <c r="B598" s="132"/>
    </row>
    <row r="599">
      <c r="B599" s="132"/>
    </row>
    <row r="600">
      <c r="B600" s="132"/>
    </row>
    <row r="601">
      <c r="B601" s="132"/>
    </row>
    <row r="602">
      <c r="B602" s="132"/>
    </row>
    <row r="603">
      <c r="B603" s="132"/>
    </row>
    <row r="604">
      <c r="B604" s="132"/>
    </row>
    <row r="605">
      <c r="B605" s="132"/>
    </row>
    <row r="606">
      <c r="B606" s="132"/>
    </row>
    <row r="607">
      <c r="B607" s="132"/>
    </row>
    <row r="608">
      <c r="B608" s="132"/>
    </row>
    <row r="609">
      <c r="B609" s="132"/>
    </row>
    <row r="610">
      <c r="B610" s="132"/>
    </row>
    <row r="611">
      <c r="B611" s="132"/>
    </row>
    <row r="612">
      <c r="B612" s="132"/>
    </row>
    <row r="613">
      <c r="B613" s="132"/>
    </row>
    <row r="614">
      <c r="B614" s="132"/>
    </row>
    <row r="615">
      <c r="B615" s="132"/>
    </row>
    <row r="616">
      <c r="B616" s="132"/>
    </row>
    <row r="617">
      <c r="B617" s="132"/>
    </row>
    <row r="618">
      <c r="B618" s="132"/>
    </row>
    <row r="619">
      <c r="B619" s="132"/>
    </row>
    <row r="620">
      <c r="B620" s="132"/>
    </row>
    <row r="621">
      <c r="B621" s="132"/>
    </row>
    <row r="622">
      <c r="B622" s="132"/>
    </row>
    <row r="623">
      <c r="B623" s="132"/>
    </row>
    <row r="624">
      <c r="B624" s="132"/>
    </row>
    <row r="625">
      <c r="B625" s="132"/>
    </row>
    <row r="626">
      <c r="B626" s="132"/>
    </row>
    <row r="627">
      <c r="B627" s="132"/>
    </row>
    <row r="628">
      <c r="B628" s="132"/>
    </row>
    <row r="629">
      <c r="B629" s="132"/>
    </row>
    <row r="630">
      <c r="B630" s="132"/>
    </row>
    <row r="631">
      <c r="B631" s="132"/>
    </row>
    <row r="632">
      <c r="B632" s="132"/>
    </row>
    <row r="633">
      <c r="B633" s="132"/>
    </row>
    <row r="634">
      <c r="B634" s="132"/>
    </row>
    <row r="635">
      <c r="B635" s="132"/>
    </row>
    <row r="636">
      <c r="B636" s="132"/>
    </row>
    <row r="637">
      <c r="B637" s="132"/>
    </row>
    <row r="638">
      <c r="B638" s="132"/>
    </row>
    <row r="639">
      <c r="B639" s="132"/>
    </row>
    <row r="640">
      <c r="B640" s="132"/>
    </row>
    <row r="641">
      <c r="B641" s="132"/>
    </row>
    <row r="642">
      <c r="B642" s="132"/>
    </row>
    <row r="643">
      <c r="B643" s="132"/>
    </row>
    <row r="644">
      <c r="B644" s="132"/>
    </row>
    <row r="645">
      <c r="B645" s="132"/>
    </row>
    <row r="646">
      <c r="B646" s="132"/>
    </row>
    <row r="647">
      <c r="B647" s="132"/>
    </row>
    <row r="648">
      <c r="B648" s="132"/>
    </row>
    <row r="649">
      <c r="B649" s="132"/>
    </row>
    <row r="650">
      <c r="B650" s="132"/>
    </row>
    <row r="651">
      <c r="B651" s="132"/>
    </row>
    <row r="652">
      <c r="B652" s="132"/>
    </row>
    <row r="653">
      <c r="B653" s="132"/>
    </row>
    <row r="654">
      <c r="B654" s="132"/>
    </row>
    <row r="655">
      <c r="B655" s="132"/>
    </row>
    <row r="656">
      <c r="B656" s="132"/>
    </row>
    <row r="657">
      <c r="B657" s="132"/>
    </row>
    <row r="658">
      <c r="B658" s="132"/>
    </row>
    <row r="659">
      <c r="B659" s="132"/>
    </row>
    <row r="660">
      <c r="B660" s="132"/>
    </row>
    <row r="661">
      <c r="B661" s="132"/>
    </row>
    <row r="662">
      <c r="B662" s="132"/>
    </row>
    <row r="663">
      <c r="B663" s="132"/>
    </row>
    <row r="664">
      <c r="B664" s="132"/>
    </row>
    <row r="665">
      <c r="B665" s="132"/>
    </row>
    <row r="666">
      <c r="B666" s="132"/>
    </row>
    <row r="667">
      <c r="B667" s="132"/>
    </row>
    <row r="668">
      <c r="B668" s="132"/>
    </row>
    <row r="669">
      <c r="B669" s="132"/>
    </row>
    <row r="670">
      <c r="B670" s="132"/>
    </row>
    <row r="671">
      <c r="B671" s="132"/>
    </row>
    <row r="672">
      <c r="B672" s="132"/>
    </row>
    <row r="673">
      <c r="B673" s="132"/>
    </row>
    <row r="674">
      <c r="B674" s="132"/>
    </row>
    <row r="675">
      <c r="B675" s="132"/>
    </row>
    <row r="676">
      <c r="B676" s="132"/>
    </row>
    <row r="677">
      <c r="B677" s="132"/>
    </row>
    <row r="678">
      <c r="B678" s="132"/>
    </row>
    <row r="679">
      <c r="B679" s="132"/>
    </row>
    <row r="680">
      <c r="B680" s="132"/>
    </row>
    <row r="681">
      <c r="B681" s="132"/>
    </row>
    <row r="682">
      <c r="B682" s="132"/>
    </row>
    <row r="683">
      <c r="B683" s="132"/>
    </row>
    <row r="684">
      <c r="B684" s="132"/>
    </row>
    <row r="685">
      <c r="B685" s="132"/>
    </row>
    <row r="686">
      <c r="B686" s="132"/>
    </row>
    <row r="687">
      <c r="B687" s="132"/>
    </row>
    <row r="688">
      <c r="B688" s="132"/>
    </row>
    <row r="689">
      <c r="B689" s="132"/>
    </row>
    <row r="690">
      <c r="B690" s="132"/>
    </row>
    <row r="691">
      <c r="B691" s="132"/>
    </row>
    <row r="692">
      <c r="B692" s="132"/>
    </row>
    <row r="693">
      <c r="B693" s="132"/>
    </row>
    <row r="694">
      <c r="B694" s="132"/>
    </row>
    <row r="695">
      <c r="B695" s="132"/>
    </row>
    <row r="696">
      <c r="B696" s="132"/>
    </row>
    <row r="697">
      <c r="B697" s="132"/>
    </row>
    <row r="698">
      <c r="B698" s="132"/>
    </row>
    <row r="699">
      <c r="B699" s="132"/>
    </row>
    <row r="700">
      <c r="B700" s="132"/>
    </row>
    <row r="701">
      <c r="B701" s="132"/>
    </row>
    <row r="702">
      <c r="B702" s="132"/>
    </row>
    <row r="703">
      <c r="B703" s="132"/>
    </row>
    <row r="704">
      <c r="B704" s="132"/>
    </row>
    <row r="705">
      <c r="B705" s="132"/>
    </row>
    <row r="706">
      <c r="B706" s="132"/>
    </row>
    <row r="707">
      <c r="B707" s="132"/>
    </row>
    <row r="708">
      <c r="B708" s="132"/>
    </row>
    <row r="709">
      <c r="B709" s="132"/>
    </row>
    <row r="710">
      <c r="B710" s="132"/>
    </row>
    <row r="711">
      <c r="B711" s="132"/>
    </row>
    <row r="712">
      <c r="B712" s="132"/>
    </row>
    <row r="713">
      <c r="B713" s="132"/>
    </row>
    <row r="714">
      <c r="B714" s="132"/>
    </row>
    <row r="715">
      <c r="B715" s="132"/>
    </row>
    <row r="716">
      <c r="B716" s="132"/>
    </row>
    <row r="717">
      <c r="B717" s="132"/>
    </row>
    <row r="718">
      <c r="B718" s="132"/>
    </row>
    <row r="719">
      <c r="B719" s="132"/>
    </row>
    <row r="720">
      <c r="B720" s="132"/>
    </row>
    <row r="721">
      <c r="B721" s="132"/>
    </row>
    <row r="722">
      <c r="B722" s="132"/>
    </row>
    <row r="723">
      <c r="B723" s="132"/>
    </row>
    <row r="724">
      <c r="B724" s="132"/>
    </row>
    <row r="725">
      <c r="B725" s="132"/>
    </row>
    <row r="726">
      <c r="B726" s="132"/>
    </row>
    <row r="727">
      <c r="B727" s="132"/>
    </row>
    <row r="728">
      <c r="B728" s="132"/>
    </row>
    <row r="729">
      <c r="B729" s="132"/>
    </row>
    <row r="730">
      <c r="B730" s="132"/>
    </row>
    <row r="731">
      <c r="B731" s="132"/>
    </row>
    <row r="732">
      <c r="B732" s="132"/>
    </row>
    <row r="733">
      <c r="B733" s="132"/>
    </row>
    <row r="734">
      <c r="B734" s="132"/>
    </row>
    <row r="735">
      <c r="B735" s="132"/>
    </row>
    <row r="736">
      <c r="B736" s="132"/>
    </row>
    <row r="737">
      <c r="B737" s="132"/>
    </row>
    <row r="738">
      <c r="B738" s="132"/>
    </row>
    <row r="739">
      <c r="B739" s="132"/>
    </row>
    <row r="740">
      <c r="B740" s="132"/>
    </row>
    <row r="741">
      <c r="B741" s="132"/>
    </row>
    <row r="742">
      <c r="B742" s="132"/>
    </row>
    <row r="743">
      <c r="B743" s="132"/>
    </row>
    <row r="744">
      <c r="B744" s="132"/>
    </row>
    <row r="745">
      <c r="B745" s="132"/>
    </row>
    <row r="746">
      <c r="B746" s="132"/>
    </row>
    <row r="747">
      <c r="B747" s="132"/>
    </row>
    <row r="748">
      <c r="B748" s="132"/>
    </row>
    <row r="749">
      <c r="B749" s="132"/>
    </row>
    <row r="750">
      <c r="B750" s="132"/>
    </row>
    <row r="751">
      <c r="B751" s="132"/>
    </row>
    <row r="752">
      <c r="B752" s="132"/>
    </row>
    <row r="753">
      <c r="B753" s="132"/>
    </row>
    <row r="754">
      <c r="B754" s="132"/>
    </row>
    <row r="755">
      <c r="B755" s="132"/>
    </row>
    <row r="756">
      <c r="B756" s="132"/>
    </row>
    <row r="757">
      <c r="B757" s="132"/>
    </row>
    <row r="758">
      <c r="B758" s="132"/>
    </row>
    <row r="759">
      <c r="B759" s="132"/>
    </row>
    <row r="760">
      <c r="B760" s="132"/>
    </row>
    <row r="761">
      <c r="B761" s="132"/>
    </row>
    <row r="762">
      <c r="B762" s="132"/>
    </row>
    <row r="763">
      <c r="B763" s="132"/>
    </row>
    <row r="764">
      <c r="B764" s="132"/>
    </row>
    <row r="765">
      <c r="B765" s="132"/>
    </row>
    <row r="766">
      <c r="B766" s="132"/>
    </row>
    <row r="767">
      <c r="B767" s="132"/>
    </row>
    <row r="768">
      <c r="B768" s="132"/>
    </row>
    <row r="769">
      <c r="B769" s="132"/>
    </row>
    <row r="770">
      <c r="B770" s="132"/>
    </row>
    <row r="771">
      <c r="B771" s="132"/>
    </row>
    <row r="772">
      <c r="B772" s="132"/>
    </row>
    <row r="773">
      <c r="B773" s="132"/>
    </row>
    <row r="774">
      <c r="B774" s="132"/>
    </row>
    <row r="775">
      <c r="B775" s="132"/>
    </row>
    <row r="776">
      <c r="B776" s="132"/>
    </row>
    <row r="777">
      <c r="B777" s="132"/>
    </row>
    <row r="778">
      <c r="B778" s="132"/>
    </row>
    <row r="779">
      <c r="B779" s="132"/>
    </row>
    <row r="780">
      <c r="B780" s="132"/>
    </row>
    <row r="781">
      <c r="B781" s="132"/>
    </row>
    <row r="782">
      <c r="B782" s="132"/>
    </row>
    <row r="783">
      <c r="B783" s="132"/>
    </row>
    <row r="784">
      <c r="B784" s="132"/>
    </row>
    <row r="785">
      <c r="B785" s="132"/>
    </row>
    <row r="786">
      <c r="B786" s="132"/>
    </row>
    <row r="787">
      <c r="B787" s="132"/>
    </row>
    <row r="788">
      <c r="B788" s="132"/>
    </row>
    <row r="789">
      <c r="B789" s="132"/>
    </row>
    <row r="790">
      <c r="B790" s="132"/>
    </row>
    <row r="791">
      <c r="B791" s="132"/>
    </row>
    <row r="792">
      <c r="B792" s="132"/>
    </row>
    <row r="793">
      <c r="B793" s="132"/>
    </row>
    <row r="794">
      <c r="B794" s="132"/>
    </row>
    <row r="795">
      <c r="B795" s="132"/>
    </row>
    <row r="796">
      <c r="B796" s="132"/>
    </row>
    <row r="797">
      <c r="B797" s="132"/>
    </row>
    <row r="798">
      <c r="B798" s="132"/>
    </row>
    <row r="799">
      <c r="B799" s="132"/>
    </row>
    <row r="800">
      <c r="B800" s="132"/>
    </row>
    <row r="801">
      <c r="B801" s="132"/>
    </row>
    <row r="802">
      <c r="B802" s="132"/>
    </row>
    <row r="803">
      <c r="B803" s="132"/>
    </row>
    <row r="804">
      <c r="B804" s="132"/>
    </row>
    <row r="805">
      <c r="B805" s="132"/>
    </row>
    <row r="806">
      <c r="B806" s="132"/>
    </row>
    <row r="807">
      <c r="B807" s="132"/>
    </row>
    <row r="808">
      <c r="B808" s="132"/>
    </row>
    <row r="809">
      <c r="B809" s="132"/>
    </row>
    <row r="810">
      <c r="B810" s="132"/>
    </row>
    <row r="811">
      <c r="B811" s="132"/>
    </row>
    <row r="812">
      <c r="B812" s="132"/>
    </row>
    <row r="813">
      <c r="B813" s="132"/>
    </row>
    <row r="814">
      <c r="B814" s="132"/>
    </row>
    <row r="815">
      <c r="B815" s="132"/>
    </row>
    <row r="816">
      <c r="B816" s="132"/>
    </row>
    <row r="817">
      <c r="B817" s="132"/>
    </row>
    <row r="818">
      <c r="B818" s="132"/>
    </row>
    <row r="819">
      <c r="B819" s="132"/>
    </row>
    <row r="820">
      <c r="B820" s="132"/>
    </row>
    <row r="821">
      <c r="B821" s="132"/>
    </row>
    <row r="822">
      <c r="B822" s="132"/>
    </row>
    <row r="823">
      <c r="B823" s="132"/>
    </row>
    <row r="824">
      <c r="B824" s="132"/>
    </row>
    <row r="825">
      <c r="B825" s="132"/>
    </row>
    <row r="826">
      <c r="B826" s="132"/>
    </row>
    <row r="827">
      <c r="B827" s="132"/>
    </row>
    <row r="828">
      <c r="B828" s="132"/>
    </row>
    <row r="829">
      <c r="B829" s="132"/>
    </row>
    <row r="830">
      <c r="B830" s="132"/>
    </row>
    <row r="831">
      <c r="B831" s="132"/>
    </row>
    <row r="832">
      <c r="B832" s="132"/>
    </row>
    <row r="833">
      <c r="B833" s="132"/>
    </row>
    <row r="834">
      <c r="B834" s="132"/>
    </row>
    <row r="835">
      <c r="B835" s="132"/>
    </row>
    <row r="836">
      <c r="B836" s="132"/>
    </row>
    <row r="837">
      <c r="B837" s="132"/>
    </row>
    <row r="838">
      <c r="B838" s="132"/>
    </row>
    <row r="839">
      <c r="B839" s="132"/>
    </row>
    <row r="840">
      <c r="B840" s="132"/>
    </row>
    <row r="841">
      <c r="B841" s="132"/>
    </row>
    <row r="842">
      <c r="B842" s="132"/>
    </row>
    <row r="843">
      <c r="B843" s="132"/>
    </row>
    <row r="844">
      <c r="B844" s="132"/>
    </row>
    <row r="845">
      <c r="B845" s="132"/>
    </row>
    <row r="846">
      <c r="B846" s="132"/>
    </row>
    <row r="847">
      <c r="B847" s="132"/>
    </row>
    <row r="848">
      <c r="B848" s="132"/>
    </row>
    <row r="849">
      <c r="B849" s="132"/>
    </row>
    <row r="850">
      <c r="B850" s="132"/>
    </row>
    <row r="851">
      <c r="B851" s="132"/>
    </row>
    <row r="852">
      <c r="B852" s="132"/>
    </row>
    <row r="853">
      <c r="B853" s="132"/>
    </row>
    <row r="854">
      <c r="B854" s="132"/>
    </row>
    <row r="855">
      <c r="B855" s="132"/>
    </row>
    <row r="856">
      <c r="B856" s="132"/>
    </row>
    <row r="857">
      <c r="B857" s="132"/>
    </row>
    <row r="858">
      <c r="B858" s="132"/>
    </row>
    <row r="859">
      <c r="B859" s="132"/>
    </row>
    <row r="860">
      <c r="B860" s="132"/>
    </row>
    <row r="861">
      <c r="B861" s="132"/>
    </row>
    <row r="862">
      <c r="B862" s="132"/>
    </row>
    <row r="863">
      <c r="B863" s="132"/>
    </row>
    <row r="864">
      <c r="B864" s="132"/>
    </row>
    <row r="865">
      <c r="B865" s="132"/>
    </row>
    <row r="866">
      <c r="B866" s="132"/>
    </row>
    <row r="867">
      <c r="B867" s="132"/>
    </row>
    <row r="868">
      <c r="B868" s="132"/>
    </row>
    <row r="869">
      <c r="B869" s="132"/>
    </row>
    <row r="870">
      <c r="B870" s="132"/>
    </row>
    <row r="871">
      <c r="B871" s="132"/>
    </row>
    <row r="872">
      <c r="B872" s="132"/>
    </row>
    <row r="873">
      <c r="B873" s="132"/>
    </row>
    <row r="874">
      <c r="B874" s="132"/>
    </row>
    <row r="875">
      <c r="B875" s="132"/>
    </row>
    <row r="876">
      <c r="B876" s="132"/>
    </row>
    <row r="877">
      <c r="B877" s="132"/>
    </row>
    <row r="878">
      <c r="B878" s="132"/>
    </row>
    <row r="879">
      <c r="B879" s="132"/>
    </row>
    <row r="880">
      <c r="B880" s="132"/>
    </row>
    <row r="881">
      <c r="B881" s="132"/>
    </row>
    <row r="882">
      <c r="B882" s="132"/>
    </row>
    <row r="883">
      <c r="B883" s="132"/>
    </row>
    <row r="884">
      <c r="B884" s="132"/>
    </row>
    <row r="885">
      <c r="B885" s="132"/>
    </row>
    <row r="886">
      <c r="B886" s="132"/>
    </row>
    <row r="887">
      <c r="B887" s="132"/>
    </row>
    <row r="888">
      <c r="B888" s="132"/>
    </row>
    <row r="889">
      <c r="B889" s="132"/>
    </row>
    <row r="890">
      <c r="B890" s="132"/>
    </row>
    <row r="891">
      <c r="B891" s="132"/>
    </row>
    <row r="892">
      <c r="B892" s="132"/>
    </row>
    <row r="893">
      <c r="B893" s="132"/>
    </row>
    <row r="894">
      <c r="B894" s="132"/>
    </row>
    <row r="895">
      <c r="B895" s="132"/>
    </row>
    <row r="896">
      <c r="B896" s="132"/>
    </row>
    <row r="897">
      <c r="B897" s="132"/>
    </row>
    <row r="898">
      <c r="B898" s="132"/>
    </row>
    <row r="899">
      <c r="B899" s="132"/>
    </row>
    <row r="900">
      <c r="B900" s="132"/>
    </row>
    <row r="901">
      <c r="B901" s="132"/>
    </row>
    <row r="902">
      <c r="B902" s="132"/>
    </row>
    <row r="903">
      <c r="B903" s="132"/>
    </row>
    <row r="904">
      <c r="B904" s="132"/>
    </row>
    <row r="905">
      <c r="B905" s="132"/>
    </row>
    <row r="906">
      <c r="B906" s="132"/>
    </row>
    <row r="907">
      <c r="B907" s="132"/>
    </row>
    <row r="908">
      <c r="B908" s="132"/>
    </row>
    <row r="909">
      <c r="B909" s="132"/>
    </row>
    <row r="910">
      <c r="B910" s="132"/>
    </row>
    <row r="911">
      <c r="B911" s="132"/>
    </row>
    <row r="912">
      <c r="B912" s="132"/>
    </row>
    <row r="913">
      <c r="B913" s="132"/>
    </row>
    <row r="914">
      <c r="B914" s="132"/>
    </row>
    <row r="915">
      <c r="B915" s="132"/>
    </row>
    <row r="916">
      <c r="B916" s="132"/>
    </row>
    <row r="917">
      <c r="B917" s="132"/>
    </row>
    <row r="918">
      <c r="B918" s="132"/>
    </row>
    <row r="919">
      <c r="B919" s="132"/>
    </row>
    <row r="920">
      <c r="B920" s="132"/>
    </row>
    <row r="921">
      <c r="B921" s="132"/>
    </row>
    <row r="922">
      <c r="B922" s="132"/>
    </row>
    <row r="923">
      <c r="B923" s="132"/>
    </row>
    <row r="924">
      <c r="B924" s="132"/>
    </row>
    <row r="925">
      <c r="B925" s="132"/>
    </row>
    <row r="926">
      <c r="B926" s="132"/>
    </row>
    <row r="927">
      <c r="B927" s="132"/>
    </row>
    <row r="928">
      <c r="B928" s="132"/>
    </row>
    <row r="929">
      <c r="B929" s="132"/>
    </row>
    <row r="930">
      <c r="B930" s="132"/>
    </row>
    <row r="931">
      <c r="B931" s="132"/>
    </row>
    <row r="932">
      <c r="B932" s="132"/>
    </row>
    <row r="933">
      <c r="B933" s="132"/>
    </row>
    <row r="934">
      <c r="B934" s="132"/>
    </row>
    <row r="935">
      <c r="B935" s="132"/>
    </row>
    <row r="936">
      <c r="B936" s="132"/>
    </row>
    <row r="937">
      <c r="B937" s="132"/>
    </row>
    <row r="938">
      <c r="B938" s="132"/>
    </row>
    <row r="939">
      <c r="B939" s="132"/>
    </row>
    <row r="940">
      <c r="B940" s="132"/>
    </row>
    <row r="941">
      <c r="B941" s="132"/>
    </row>
    <row r="942">
      <c r="B942" s="132"/>
    </row>
    <row r="943">
      <c r="B943" s="132"/>
    </row>
    <row r="944">
      <c r="B944" s="132"/>
    </row>
    <row r="945">
      <c r="B945" s="132"/>
    </row>
    <row r="946">
      <c r="B946" s="132"/>
    </row>
    <row r="947">
      <c r="B947" s="132"/>
    </row>
    <row r="948">
      <c r="B948" s="132"/>
    </row>
    <row r="949">
      <c r="B949" s="132"/>
    </row>
    <row r="950">
      <c r="B950" s="132"/>
    </row>
    <row r="951">
      <c r="B951" s="132"/>
    </row>
    <row r="952">
      <c r="B952" s="132"/>
    </row>
    <row r="953">
      <c r="B953" s="132"/>
    </row>
    <row r="954">
      <c r="B954" s="132"/>
    </row>
    <row r="955">
      <c r="B955" s="132"/>
    </row>
    <row r="956">
      <c r="B956" s="132"/>
    </row>
    <row r="957">
      <c r="B957" s="132"/>
    </row>
    <row r="958">
      <c r="B958" s="132"/>
    </row>
    <row r="959">
      <c r="B959" s="132"/>
    </row>
    <row r="960">
      <c r="B960" s="132"/>
    </row>
    <row r="961">
      <c r="B961" s="132"/>
    </row>
    <row r="962">
      <c r="B962" s="132"/>
    </row>
    <row r="963">
      <c r="B963" s="132"/>
    </row>
    <row r="964">
      <c r="B964" s="132"/>
    </row>
    <row r="965">
      <c r="B965" s="132"/>
    </row>
    <row r="966">
      <c r="B966" s="132"/>
    </row>
    <row r="967">
      <c r="B967" s="132"/>
    </row>
    <row r="968">
      <c r="B968" s="132"/>
    </row>
    <row r="969">
      <c r="B969" s="132"/>
    </row>
    <row r="970">
      <c r="B970" s="132"/>
    </row>
    <row r="971">
      <c r="B971" s="132"/>
    </row>
    <row r="972">
      <c r="B972" s="132"/>
    </row>
    <row r="973">
      <c r="B973" s="132"/>
    </row>
    <row r="974">
      <c r="B974" s="132"/>
    </row>
    <row r="975">
      <c r="B975" s="132"/>
    </row>
    <row r="976">
      <c r="B976" s="132"/>
    </row>
    <row r="977">
      <c r="B977" s="132"/>
    </row>
    <row r="978">
      <c r="B978" s="132"/>
    </row>
    <row r="979">
      <c r="B979" s="132"/>
    </row>
    <row r="980">
      <c r="B980" s="132"/>
    </row>
    <row r="981">
      <c r="B981" s="132"/>
    </row>
    <row r="982">
      <c r="B982" s="132"/>
    </row>
    <row r="983">
      <c r="B983" s="132"/>
    </row>
    <row r="984">
      <c r="B984" s="132"/>
    </row>
    <row r="985">
      <c r="B985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57"/>
    <col customWidth="1" min="2" max="2" width="26.29"/>
    <col customWidth="1" min="3" max="3" width="21.29"/>
    <col customWidth="1" min="4" max="4" width="29.0"/>
    <col customWidth="1" min="5" max="5" width="17.71"/>
    <col customWidth="1" min="6" max="6" width="24.0"/>
    <col customWidth="1" min="7" max="7" width="17.57"/>
    <col customWidth="1" min="8" max="8" width="16.43"/>
  </cols>
  <sheetData>
    <row r="1" ht="22.5" customHeight="1">
      <c r="A1" s="140" t="s">
        <v>324</v>
      </c>
      <c r="B1" s="140" t="s">
        <v>325</v>
      </c>
      <c r="C1" s="140" t="s">
        <v>326</v>
      </c>
      <c r="D1" s="140" t="s">
        <v>327</v>
      </c>
      <c r="E1" s="140" t="s">
        <v>328</v>
      </c>
      <c r="F1" s="140" t="s">
        <v>329</v>
      </c>
      <c r="G1" s="140" t="s">
        <v>330</v>
      </c>
      <c r="H1" s="140" t="s">
        <v>331</v>
      </c>
    </row>
    <row r="2" ht="22.5" customHeight="1">
      <c r="A2" s="141" t="s">
        <v>332</v>
      </c>
      <c r="B2" s="140">
        <v>0.0</v>
      </c>
      <c r="C2" s="142" t="s">
        <v>333</v>
      </c>
      <c r="D2" s="141" t="s">
        <v>334</v>
      </c>
      <c r="E2" s="143">
        <v>46235.0</v>
      </c>
      <c r="F2" s="144" t="s">
        <v>335</v>
      </c>
      <c r="G2" s="145">
        <v>0.05</v>
      </c>
      <c r="H2" s="141" t="s">
        <v>336</v>
      </c>
    </row>
    <row r="3" ht="22.5" customHeight="1">
      <c r="A3" s="141" t="s">
        <v>337</v>
      </c>
      <c r="B3" s="140">
        <v>0.0</v>
      </c>
      <c r="C3" s="142" t="s">
        <v>333</v>
      </c>
      <c r="D3" s="141" t="s">
        <v>334</v>
      </c>
      <c r="E3" s="143">
        <v>46235.0</v>
      </c>
      <c r="F3" s="144" t="s">
        <v>335</v>
      </c>
      <c r="G3" s="145">
        <v>0.1</v>
      </c>
      <c r="H3" s="141" t="s">
        <v>336</v>
      </c>
    </row>
    <row r="4" ht="22.5" customHeight="1">
      <c r="A4" s="141" t="s">
        <v>339</v>
      </c>
      <c r="B4" s="140">
        <v>-1.0</v>
      </c>
      <c r="C4" s="142" t="s">
        <v>333</v>
      </c>
      <c r="D4" s="141" t="s">
        <v>334</v>
      </c>
      <c r="E4" s="143">
        <v>46235.0</v>
      </c>
      <c r="F4" s="144" t="s">
        <v>340</v>
      </c>
      <c r="G4" s="145">
        <v>0.3</v>
      </c>
      <c r="H4" s="141" t="s">
        <v>336</v>
      </c>
    </row>
    <row r="5" ht="22.5" customHeight="1">
      <c r="A5" s="141" t="s">
        <v>341</v>
      </c>
      <c r="B5" s="140">
        <v>-1.0</v>
      </c>
      <c r="C5" s="142" t="s">
        <v>342</v>
      </c>
      <c r="D5" s="141" t="s">
        <v>334</v>
      </c>
      <c r="E5" s="143">
        <v>46235.0</v>
      </c>
      <c r="F5" s="144" t="s">
        <v>343</v>
      </c>
      <c r="G5" s="145">
        <v>0.55</v>
      </c>
      <c r="H5" s="141" t="s">
        <v>336</v>
      </c>
    </row>
    <row r="6" ht="22.5" customHeight="1">
      <c r="A6" s="141" t="s">
        <v>344</v>
      </c>
      <c r="B6" s="140">
        <v>-1.0</v>
      </c>
      <c r="C6" s="142" t="s">
        <v>342</v>
      </c>
      <c r="D6" s="141" t="s">
        <v>334</v>
      </c>
      <c r="E6" s="143">
        <v>46235.0</v>
      </c>
      <c r="F6" s="144" t="s">
        <v>343</v>
      </c>
      <c r="G6" s="145">
        <v>0.55</v>
      </c>
      <c r="H6" s="141" t="s">
        <v>336</v>
      </c>
    </row>
    <row r="7" ht="22.5" customHeight="1">
      <c r="A7" s="141" t="s">
        <v>345</v>
      </c>
      <c r="B7" s="140">
        <v>-1.0</v>
      </c>
      <c r="C7" s="142" t="s">
        <v>342</v>
      </c>
      <c r="D7" s="141" t="s">
        <v>334</v>
      </c>
      <c r="E7" s="143">
        <v>46235.0</v>
      </c>
      <c r="F7" s="144" t="s">
        <v>343</v>
      </c>
      <c r="G7" s="145">
        <v>0.55</v>
      </c>
      <c r="H7" s="141" t="s">
        <v>336</v>
      </c>
    </row>
    <row r="8" ht="22.5" customHeight="1">
      <c r="A8" s="141" t="s">
        <v>347</v>
      </c>
      <c r="B8" s="140" t="s">
        <v>348</v>
      </c>
      <c r="C8" s="142" t="s">
        <v>342</v>
      </c>
      <c r="D8" s="141" t="s">
        <v>334</v>
      </c>
      <c r="E8" s="143">
        <v>46235.0</v>
      </c>
      <c r="F8" s="144" t="s">
        <v>349</v>
      </c>
      <c r="G8" s="145">
        <v>0.9</v>
      </c>
      <c r="H8" s="141" t="s">
        <v>336</v>
      </c>
    </row>
    <row r="9" ht="22.5" customHeight="1">
      <c r="A9" s="141" t="s">
        <v>351</v>
      </c>
      <c r="B9" s="140" t="s">
        <v>348</v>
      </c>
      <c r="C9" s="142" t="s">
        <v>342</v>
      </c>
      <c r="D9" s="141" t="s">
        <v>334</v>
      </c>
      <c r="E9" s="143">
        <v>46235.0</v>
      </c>
      <c r="F9" s="144" t="s">
        <v>349</v>
      </c>
      <c r="G9" s="145">
        <v>0.9</v>
      </c>
      <c r="H9" s="141" t="s">
        <v>336</v>
      </c>
    </row>
    <row r="10" ht="22.5" customHeight="1">
      <c r="A10" s="141" t="s">
        <v>354</v>
      </c>
      <c r="B10" s="140" t="s">
        <v>348</v>
      </c>
      <c r="C10" s="142" t="s">
        <v>342</v>
      </c>
      <c r="D10" s="141" t="s">
        <v>334</v>
      </c>
      <c r="E10" s="143">
        <v>46235.0</v>
      </c>
      <c r="F10" s="144" t="s">
        <v>349</v>
      </c>
      <c r="G10" s="145">
        <v>0.9</v>
      </c>
      <c r="H10" s="141" t="s">
        <v>336</v>
      </c>
    </row>
    <row r="11">
      <c r="B11" s="132"/>
    </row>
    <row r="12">
      <c r="B12" s="132"/>
    </row>
    <row r="13">
      <c r="B13" s="132"/>
    </row>
    <row r="14">
      <c r="B14" s="132"/>
    </row>
    <row r="15">
      <c r="B15" s="132"/>
    </row>
    <row r="16">
      <c r="B16" s="132"/>
    </row>
    <row r="17">
      <c r="B17" s="132"/>
    </row>
    <row r="18">
      <c r="B18" s="132"/>
    </row>
    <row r="19">
      <c r="B19" s="132"/>
    </row>
    <row r="20">
      <c r="B20" s="132"/>
    </row>
    <row r="21">
      <c r="B21" s="132"/>
    </row>
    <row r="22">
      <c r="B22" s="132"/>
    </row>
    <row r="23">
      <c r="B23" s="132"/>
    </row>
    <row r="24">
      <c r="B24" s="132"/>
    </row>
    <row r="25">
      <c r="B25" s="132"/>
    </row>
    <row r="26">
      <c r="B26" s="132"/>
    </row>
    <row r="27">
      <c r="B27" s="132"/>
    </row>
    <row r="28">
      <c r="B28" s="132"/>
    </row>
    <row r="29">
      <c r="B29" s="132"/>
    </row>
    <row r="30">
      <c r="B30" s="132"/>
    </row>
    <row r="31">
      <c r="B31" s="132"/>
    </row>
    <row r="32">
      <c r="B32" s="132"/>
    </row>
    <row r="33">
      <c r="B33" s="132"/>
    </row>
    <row r="34">
      <c r="B34" s="132"/>
    </row>
    <row r="35">
      <c r="B35" s="132"/>
    </row>
    <row r="36">
      <c r="B36" s="132"/>
    </row>
    <row r="37">
      <c r="B37" s="132"/>
    </row>
    <row r="38">
      <c r="B38" s="132"/>
    </row>
    <row r="39">
      <c r="B39" s="132"/>
    </row>
    <row r="40">
      <c r="B40" s="132"/>
    </row>
    <row r="41">
      <c r="B41" s="132"/>
    </row>
    <row r="42">
      <c r="B42" s="132"/>
    </row>
    <row r="43">
      <c r="B43" s="132"/>
    </row>
    <row r="44">
      <c r="B44" s="132"/>
    </row>
    <row r="45">
      <c r="B45" s="132"/>
    </row>
    <row r="46">
      <c r="B46" s="132"/>
    </row>
    <row r="47">
      <c r="B47" s="132"/>
    </row>
    <row r="48">
      <c r="B48" s="132"/>
    </row>
    <row r="49">
      <c r="B49" s="132"/>
    </row>
    <row r="50">
      <c r="B50" s="132"/>
    </row>
    <row r="51">
      <c r="B51" s="132"/>
    </row>
    <row r="52">
      <c r="B52" s="132"/>
    </row>
    <row r="53">
      <c r="B53" s="132"/>
    </row>
    <row r="54">
      <c r="B54" s="132"/>
    </row>
    <row r="55">
      <c r="B55" s="132"/>
    </row>
    <row r="56">
      <c r="B56" s="132"/>
    </row>
    <row r="57">
      <c r="B57" s="132"/>
    </row>
    <row r="58">
      <c r="B58" s="132"/>
    </row>
    <row r="59">
      <c r="B59" s="132"/>
    </row>
    <row r="60">
      <c r="B60" s="132"/>
    </row>
    <row r="61">
      <c r="B61" s="132"/>
    </row>
    <row r="62">
      <c r="B62" s="132"/>
    </row>
    <row r="63">
      <c r="B63" s="132"/>
    </row>
    <row r="64">
      <c r="B64" s="132"/>
    </row>
    <row r="65">
      <c r="B65" s="132"/>
    </row>
    <row r="66">
      <c r="B66" s="132"/>
    </row>
    <row r="67">
      <c r="B67" s="132"/>
    </row>
    <row r="68">
      <c r="B68" s="132"/>
    </row>
    <row r="69">
      <c r="B69" s="132"/>
    </row>
    <row r="70">
      <c r="B70" s="132"/>
    </row>
    <row r="71">
      <c r="B71" s="132"/>
    </row>
    <row r="72">
      <c r="B72" s="132"/>
    </row>
    <row r="73">
      <c r="B73" s="132"/>
    </row>
    <row r="74">
      <c r="B74" s="132"/>
    </row>
    <row r="75">
      <c r="B75" s="132"/>
    </row>
    <row r="76">
      <c r="B76" s="132"/>
    </row>
    <row r="77">
      <c r="B77" s="132"/>
    </row>
    <row r="78">
      <c r="B78" s="132"/>
    </row>
    <row r="79">
      <c r="B79" s="132"/>
    </row>
    <row r="80">
      <c r="B80" s="132"/>
    </row>
    <row r="81">
      <c r="B81" s="132"/>
    </row>
    <row r="82">
      <c r="B82" s="132"/>
    </row>
    <row r="83">
      <c r="B83" s="132"/>
    </row>
    <row r="84">
      <c r="B84" s="132"/>
    </row>
    <row r="85">
      <c r="B85" s="132"/>
    </row>
    <row r="86">
      <c r="B86" s="132"/>
    </row>
    <row r="87">
      <c r="B87" s="132"/>
    </row>
    <row r="88">
      <c r="B88" s="132"/>
    </row>
    <row r="89">
      <c r="B89" s="132"/>
    </row>
    <row r="90">
      <c r="B90" s="132"/>
    </row>
    <row r="91">
      <c r="B91" s="132"/>
    </row>
    <row r="92">
      <c r="B92" s="132"/>
    </row>
    <row r="93">
      <c r="B93" s="132"/>
    </row>
    <row r="94">
      <c r="B94" s="132"/>
    </row>
    <row r="95">
      <c r="B95" s="132"/>
    </row>
    <row r="96">
      <c r="B96" s="132"/>
    </row>
    <row r="97">
      <c r="B97" s="132"/>
    </row>
    <row r="98">
      <c r="B98" s="132"/>
    </row>
    <row r="99">
      <c r="B99" s="132"/>
    </row>
    <row r="100">
      <c r="B100" s="132"/>
    </row>
    <row r="101">
      <c r="B101" s="132"/>
    </row>
    <row r="102">
      <c r="B102" s="132"/>
    </row>
    <row r="103">
      <c r="B103" s="132"/>
    </row>
    <row r="104">
      <c r="B104" s="132"/>
    </row>
    <row r="105">
      <c r="B105" s="132"/>
    </row>
    <row r="106">
      <c r="B106" s="132"/>
    </row>
    <row r="107">
      <c r="B107" s="132"/>
    </row>
    <row r="108">
      <c r="B108" s="132"/>
    </row>
    <row r="109">
      <c r="B109" s="132"/>
    </row>
    <row r="110">
      <c r="B110" s="132"/>
    </row>
    <row r="111">
      <c r="B111" s="132"/>
    </row>
    <row r="112">
      <c r="B112" s="132"/>
    </row>
    <row r="113">
      <c r="B113" s="132"/>
    </row>
    <row r="114">
      <c r="B114" s="132"/>
    </row>
    <row r="115">
      <c r="B115" s="132"/>
    </row>
    <row r="116">
      <c r="B116" s="132"/>
    </row>
    <row r="117">
      <c r="B117" s="132"/>
    </row>
    <row r="118">
      <c r="B118" s="132"/>
    </row>
    <row r="119">
      <c r="B119" s="132"/>
    </row>
    <row r="120">
      <c r="B120" s="132"/>
    </row>
    <row r="121">
      <c r="B121" s="132"/>
    </row>
    <row r="122">
      <c r="B122" s="132"/>
    </row>
    <row r="123">
      <c r="B123" s="132"/>
    </row>
    <row r="124">
      <c r="B124" s="132"/>
    </row>
    <row r="125">
      <c r="B125" s="132"/>
    </row>
    <row r="126">
      <c r="B126" s="132"/>
    </row>
    <row r="127">
      <c r="B127" s="132"/>
    </row>
    <row r="128">
      <c r="B128" s="132"/>
    </row>
    <row r="129">
      <c r="B129" s="132"/>
    </row>
    <row r="130">
      <c r="B130" s="132"/>
    </row>
    <row r="131">
      <c r="B131" s="132"/>
    </row>
    <row r="132">
      <c r="B132" s="132"/>
    </row>
    <row r="133">
      <c r="B133" s="132"/>
    </row>
    <row r="134">
      <c r="B134" s="132"/>
    </row>
    <row r="135">
      <c r="B135" s="132"/>
    </row>
    <row r="136">
      <c r="B136" s="132"/>
    </row>
    <row r="137">
      <c r="B137" s="132"/>
    </row>
    <row r="138">
      <c r="B138" s="132"/>
    </row>
    <row r="139">
      <c r="B139" s="132"/>
    </row>
    <row r="140">
      <c r="B140" s="132"/>
    </row>
    <row r="141">
      <c r="B141" s="132"/>
    </row>
    <row r="142">
      <c r="B142" s="132"/>
    </row>
    <row r="143">
      <c r="B143" s="132"/>
    </row>
    <row r="144">
      <c r="B144" s="132"/>
    </row>
    <row r="145">
      <c r="B145" s="132"/>
    </row>
    <row r="146">
      <c r="B146" s="132"/>
    </row>
    <row r="147">
      <c r="B147" s="132"/>
    </row>
    <row r="148">
      <c r="B148" s="132"/>
    </row>
    <row r="149">
      <c r="B149" s="132"/>
    </row>
    <row r="150">
      <c r="B150" s="132"/>
    </row>
    <row r="151">
      <c r="B151" s="132"/>
    </row>
    <row r="152">
      <c r="B152" s="132"/>
    </row>
    <row r="153">
      <c r="B153" s="132"/>
    </row>
    <row r="154">
      <c r="B154" s="132"/>
    </row>
    <row r="155">
      <c r="B155" s="132"/>
    </row>
    <row r="156">
      <c r="B156" s="132"/>
    </row>
    <row r="157">
      <c r="B157" s="132"/>
    </row>
    <row r="158">
      <c r="B158" s="132"/>
    </row>
    <row r="159">
      <c r="B159" s="132"/>
    </row>
    <row r="160">
      <c r="B160" s="132"/>
    </row>
    <row r="161">
      <c r="B161" s="132"/>
    </row>
    <row r="162">
      <c r="B162" s="132"/>
    </row>
    <row r="163">
      <c r="B163" s="132"/>
    </row>
    <row r="164">
      <c r="B164" s="132"/>
    </row>
    <row r="165">
      <c r="B165" s="132"/>
    </row>
    <row r="166">
      <c r="B166" s="132"/>
    </row>
    <row r="167">
      <c r="B167" s="132"/>
    </row>
    <row r="168">
      <c r="B168" s="132"/>
    </row>
    <row r="169">
      <c r="B169" s="132"/>
    </row>
    <row r="170">
      <c r="B170" s="132"/>
    </row>
    <row r="171">
      <c r="B171" s="132"/>
    </row>
    <row r="172">
      <c r="B172" s="132"/>
    </row>
    <row r="173">
      <c r="B173" s="132"/>
    </row>
    <row r="174">
      <c r="B174" s="132"/>
    </row>
    <row r="175">
      <c r="B175" s="132"/>
    </row>
    <row r="176">
      <c r="B176" s="132"/>
    </row>
    <row r="177">
      <c r="B177" s="132"/>
    </row>
    <row r="178">
      <c r="B178" s="132"/>
    </row>
    <row r="179">
      <c r="B179" s="132"/>
    </row>
    <row r="180">
      <c r="B180" s="132"/>
    </row>
    <row r="181">
      <c r="B181" s="132"/>
    </row>
    <row r="182">
      <c r="B182" s="132"/>
    </row>
    <row r="183">
      <c r="B183" s="132"/>
    </row>
    <row r="184">
      <c r="B184" s="132"/>
    </row>
    <row r="185">
      <c r="B185" s="132"/>
    </row>
    <row r="186">
      <c r="B186" s="132"/>
    </row>
    <row r="187">
      <c r="B187" s="132"/>
    </row>
    <row r="188">
      <c r="B188" s="132"/>
    </row>
    <row r="189">
      <c r="B189" s="132"/>
    </row>
    <row r="190">
      <c r="B190" s="132"/>
    </row>
    <row r="191">
      <c r="B191" s="132"/>
    </row>
    <row r="192">
      <c r="B192" s="132"/>
    </row>
    <row r="193">
      <c r="B193" s="132"/>
    </row>
    <row r="194">
      <c r="B194" s="132"/>
    </row>
    <row r="195">
      <c r="B195" s="132"/>
    </row>
    <row r="196">
      <c r="B196" s="132"/>
    </row>
    <row r="197">
      <c r="B197" s="132"/>
    </row>
    <row r="198">
      <c r="B198" s="132"/>
    </row>
    <row r="199">
      <c r="B199" s="132"/>
    </row>
    <row r="200">
      <c r="B200" s="132"/>
    </row>
    <row r="201">
      <c r="B201" s="132"/>
    </row>
    <row r="202">
      <c r="B202" s="132"/>
    </row>
    <row r="203">
      <c r="B203" s="132"/>
    </row>
    <row r="204">
      <c r="B204" s="132"/>
    </row>
    <row r="205">
      <c r="B205" s="132"/>
    </row>
    <row r="206">
      <c r="B206" s="132"/>
    </row>
    <row r="207">
      <c r="B207" s="132"/>
    </row>
    <row r="208">
      <c r="B208" s="132"/>
    </row>
    <row r="209">
      <c r="B209" s="132"/>
    </row>
    <row r="210">
      <c r="B210" s="132"/>
    </row>
    <row r="211">
      <c r="B211" s="132"/>
    </row>
    <row r="212">
      <c r="B212" s="132"/>
    </row>
    <row r="213">
      <c r="B213" s="132"/>
    </row>
    <row r="214">
      <c r="B214" s="132"/>
    </row>
    <row r="215">
      <c r="B215" s="132"/>
    </row>
    <row r="216">
      <c r="B216" s="132"/>
    </row>
    <row r="217">
      <c r="B217" s="132"/>
    </row>
    <row r="218">
      <c r="B218" s="132"/>
    </row>
    <row r="219">
      <c r="B219" s="132"/>
    </row>
    <row r="220">
      <c r="B220" s="132"/>
    </row>
    <row r="221">
      <c r="B221" s="132"/>
    </row>
    <row r="222">
      <c r="B222" s="132"/>
    </row>
    <row r="223">
      <c r="B223" s="132"/>
    </row>
    <row r="224">
      <c r="B224" s="132"/>
    </row>
    <row r="225">
      <c r="B225" s="132"/>
    </row>
    <row r="226">
      <c r="B226" s="132"/>
    </row>
    <row r="227">
      <c r="B227" s="132"/>
    </row>
    <row r="228">
      <c r="B228" s="132"/>
    </row>
    <row r="229">
      <c r="B229" s="132"/>
    </row>
    <row r="230">
      <c r="B230" s="132"/>
    </row>
    <row r="231">
      <c r="B231" s="132"/>
    </row>
    <row r="232">
      <c r="B232" s="132"/>
    </row>
    <row r="233">
      <c r="B233" s="132"/>
    </row>
    <row r="234">
      <c r="B234" s="132"/>
    </row>
    <row r="235">
      <c r="B235" s="132"/>
    </row>
    <row r="236">
      <c r="B236" s="132"/>
    </row>
    <row r="237">
      <c r="B237" s="132"/>
    </row>
    <row r="238">
      <c r="B238" s="132"/>
    </row>
    <row r="239">
      <c r="B239" s="132"/>
    </row>
    <row r="240">
      <c r="B240" s="132"/>
    </row>
    <row r="241">
      <c r="B241" s="132"/>
    </row>
    <row r="242">
      <c r="B242" s="132"/>
    </row>
    <row r="243">
      <c r="B243" s="132"/>
    </row>
    <row r="244">
      <c r="B244" s="132"/>
    </row>
    <row r="245">
      <c r="B245" s="132"/>
    </row>
    <row r="246">
      <c r="B246" s="132"/>
    </row>
    <row r="247">
      <c r="B247" s="132"/>
    </row>
    <row r="248">
      <c r="B248" s="132"/>
    </row>
    <row r="249">
      <c r="B249" s="132"/>
    </row>
    <row r="250">
      <c r="B250" s="132"/>
    </row>
    <row r="251">
      <c r="B251" s="132"/>
    </row>
    <row r="252">
      <c r="B252" s="132"/>
    </row>
    <row r="253">
      <c r="B253" s="132"/>
    </row>
    <row r="254">
      <c r="B254" s="132"/>
    </row>
    <row r="255">
      <c r="B255" s="132"/>
    </row>
    <row r="256">
      <c r="B256" s="132"/>
    </row>
    <row r="257">
      <c r="B257" s="132"/>
    </row>
    <row r="258">
      <c r="B258" s="132"/>
    </row>
    <row r="259">
      <c r="B259" s="132"/>
    </row>
    <row r="260">
      <c r="B260" s="132"/>
    </row>
    <row r="261">
      <c r="B261" s="132"/>
    </row>
    <row r="262">
      <c r="B262" s="132"/>
    </row>
    <row r="263">
      <c r="B263" s="132"/>
    </row>
    <row r="264">
      <c r="B264" s="132"/>
    </row>
    <row r="265">
      <c r="B265" s="132"/>
    </row>
    <row r="266">
      <c r="B266" s="132"/>
    </row>
    <row r="267">
      <c r="B267" s="132"/>
    </row>
    <row r="268">
      <c r="B268" s="132"/>
    </row>
    <row r="269">
      <c r="B269" s="132"/>
    </row>
    <row r="270">
      <c r="B270" s="132"/>
    </row>
    <row r="271">
      <c r="B271" s="132"/>
    </row>
    <row r="272">
      <c r="B272" s="132"/>
    </row>
    <row r="273">
      <c r="B273" s="132"/>
    </row>
    <row r="274">
      <c r="B274" s="132"/>
    </row>
    <row r="275">
      <c r="B275" s="132"/>
    </row>
    <row r="276">
      <c r="B276" s="132"/>
    </row>
    <row r="277">
      <c r="B277" s="132"/>
    </row>
    <row r="278">
      <c r="B278" s="132"/>
    </row>
    <row r="279">
      <c r="B279" s="132"/>
    </row>
    <row r="280">
      <c r="B280" s="132"/>
    </row>
    <row r="281">
      <c r="B281" s="132"/>
    </row>
    <row r="282">
      <c r="B282" s="132"/>
    </row>
    <row r="283">
      <c r="B283" s="132"/>
    </row>
    <row r="284">
      <c r="B284" s="132"/>
    </row>
    <row r="285">
      <c r="B285" s="132"/>
    </row>
    <row r="286">
      <c r="B286" s="132"/>
    </row>
    <row r="287">
      <c r="B287" s="132"/>
    </row>
    <row r="288">
      <c r="B288" s="132"/>
    </row>
    <row r="289">
      <c r="B289" s="132"/>
    </row>
    <row r="290">
      <c r="B290" s="132"/>
    </row>
    <row r="291">
      <c r="B291" s="132"/>
    </row>
    <row r="292">
      <c r="B292" s="132"/>
    </row>
    <row r="293">
      <c r="B293" s="132"/>
    </row>
    <row r="294">
      <c r="B294" s="132"/>
    </row>
    <row r="295">
      <c r="B295" s="132"/>
    </row>
    <row r="296">
      <c r="B296" s="132"/>
    </row>
    <row r="297">
      <c r="B297" s="132"/>
    </row>
    <row r="298">
      <c r="B298" s="132"/>
    </row>
    <row r="299">
      <c r="B299" s="132"/>
    </row>
    <row r="300">
      <c r="B300" s="132"/>
    </row>
    <row r="301">
      <c r="B301" s="132"/>
    </row>
    <row r="302">
      <c r="B302" s="132"/>
    </row>
    <row r="303">
      <c r="B303" s="132"/>
    </row>
    <row r="304">
      <c r="B304" s="132"/>
    </row>
    <row r="305">
      <c r="B305" s="132"/>
    </row>
    <row r="306">
      <c r="B306" s="132"/>
    </row>
    <row r="307">
      <c r="B307" s="132"/>
    </row>
    <row r="308">
      <c r="B308" s="132"/>
    </row>
    <row r="309">
      <c r="B309" s="132"/>
    </row>
    <row r="310">
      <c r="B310" s="132"/>
    </row>
    <row r="311">
      <c r="B311" s="132"/>
    </row>
    <row r="312">
      <c r="B312" s="132"/>
    </row>
    <row r="313">
      <c r="B313" s="132"/>
    </row>
    <row r="314">
      <c r="B314" s="132"/>
    </row>
    <row r="315">
      <c r="B315" s="132"/>
    </row>
    <row r="316">
      <c r="B316" s="132"/>
    </row>
    <row r="317">
      <c r="B317" s="132"/>
    </row>
    <row r="318">
      <c r="B318" s="132"/>
    </row>
    <row r="319">
      <c r="B319" s="132"/>
    </row>
    <row r="320">
      <c r="B320" s="132"/>
    </row>
    <row r="321">
      <c r="B321" s="132"/>
    </row>
    <row r="322">
      <c r="B322" s="132"/>
    </row>
    <row r="323">
      <c r="B323" s="132"/>
    </row>
    <row r="324">
      <c r="B324" s="132"/>
    </row>
    <row r="325">
      <c r="B325" s="132"/>
    </row>
    <row r="326">
      <c r="B326" s="132"/>
    </row>
    <row r="327">
      <c r="B327" s="132"/>
    </row>
    <row r="328">
      <c r="B328" s="132"/>
    </row>
    <row r="329">
      <c r="B329" s="132"/>
    </row>
    <row r="330">
      <c r="B330" s="132"/>
    </row>
    <row r="331">
      <c r="B331" s="132"/>
    </row>
    <row r="332">
      <c r="B332" s="132"/>
    </row>
    <row r="333">
      <c r="B333" s="132"/>
    </row>
    <row r="334">
      <c r="B334" s="132"/>
    </row>
    <row r="335">
      <c r="B335" s="132"/>
    </row>
    <row r="336">
      <c r="B336" s="132"/>
    </row>
    <row r="337">
      <c r="B337" s="132"/>
    </row>
    <row r="338">
      <c r="B338" s="132"/>
    </row>
    <row r="339">
      <c r="B339" s="132"/>
    </row>
    <row r="340">
      <c r="B340" s="132"/>
    </row>
    <row r="341">
      <c r="B341" s="132"/>
    </row>
    <row r="342">
      <c r="B342" s="132"/>
    </row>
    <row r="343">
      <c r="B343" s="132"/>
    </row>
    <row r="344">
      <c r="B344" s="132"/>
    </row>
    <row r="345">
      <c r="B345" s="132"/>
    </row>
    <row r="346">
      <c r="B346" s="132"/>
    </row>
    <row r="347">
      <c r="B347" s="132"/>
    </row>
    <row r="348">
      <c r="B348" s="132"/>
    </row>
    <row r="349">
      <c r="B349" s="132"/>
    </row>
    <row r="350">
      <c r="B350" s="132"/>
    </row>
    <row r="351">
      <c r="B351" s="132"/>
    </row>
    <row r="352">
      <c r="B352" s="132"/>
    </row>
    <row r="353">
      <c r="B353" s="132"/>
    </row>
    <row r="354">
      <c r="B354" s="132"/>
    </row>
    <row r="355">
      <c r="B355" s="132"/>
    </row>
    <row r="356">
      <c r="B356" s="132"/>
    </row>
    <row r="357">
      <c r="B357" s="132"/>
    </row>
    <row r="358">
      <c r="B358" s="132"/>
    </row>
    <row r="359">
      <c r="B359" s="132"/>
    </row>
    <row r="360">
      <c r="B360" s="132"/>
    </row>
    <row r="361">
      <c r="B361" s="132"/>
    </row>
    <row r="362">
      <c r="B362" s="132"/>
    </row>
    <row r="363">
      <c r="B363" s="132"/>
    </row>
    <row r="364">
      <c r="B364" s="132"/>
    </row>
    <row r="365">
      <c r="B365" s="132"/>
    </row>
    <row r="366">
      <c r="B366" s="132"/>
    </row>
    <row r="367">
      <c r="B367" s="132"/>
    </row>
    <row r="368">
      <c r="B368" s="132"/>
    </row>
    <row r="369">
      <c r="B369" s="132"/>
    </row>
    <row r="370">
      <c r="B370" s="132"/>
    </row>
    <row r="371">
      <c r="B371" s="132"/>
    </row>
    <row r="372">
      <c r="B372" s="132"/>
    </row>
    <row r="373">
      <c r="B373" s="132"/>
    </row>
    <row r="374">
      <c r="B374" s="132"/>
    </row>
    <row r="375">
      <c r="B375" s="132"/>
    </row>
    <row r="376">
      <c r="B376" s="132"/>
    </row>
    <row r="377">
      <c r="B377" s="132"/>
    </row>
    <row r="378">
      <c r="B378" s="132"/>
    </row>
    <row r="379">
      <c r="B379" s="132"/>
    </row>
    <row r="380">
      <c r="B380" s="132"/>
    </row>
    <row r="381">
      <c r="B381" s="132"/>
    </row>
    <row r="382">
      <c r="B382" s="132"/>
    </row>
    <row r="383">
      <c r="B383" s="132"/>
    </row>
    <row r="384">
      <c r="B384" s="132"/>
    </row>
    <row r="385">
      <c r="B385" s="132"/>
    </row>
    <row r="386">
      <c r="B386" s="132"/>
    </row>
    <row r="387">
      <c r="B387" s="132"/>
    </row>
    <row r="388">
      <c r="B388" s="132"/>
    </row>
    <row r="389">
      <c r="B389" s="132"/>
    </row>
    <row r="390">
      <c r="B390" s="132"/>
    </row>
    <row r="391">
      <c r="B391" s="132"/>
    </row>
    <row r="392">
      <c r="B392" s="132"/>
    </row>
    <row r="393">
      <c r="B393" s="132"/>
    </row>
    <row r="394">
      <c r="B394" s="132"/>
    </row>
    <row r="395">
      <c r="B395" s="132"/>
    </row>
    <row r="396">
      <c r="B396" s="132"/>
    </row>
    <row r="397">
      <c r="B397" s="132"/>
    </row>
    <row r="398">
      <c r="B398" s="132"/>
    </row>
    <row r="399">
      <c r="B399" s="132"/>
    </row>
    <row r="400">
      <c r="B400" s="132"/>
    </row>
    <row r="401">
      <c r="B401" s="132"/>
    </row>
    <row r="402">
      <c r="B402" s="132"/>
    </row>
    <row r="403">
      <c r="B403" s="132"/>
    </row>
    <row r="404">
      <c r="B404" s="132"/>
    </row>
    <row r="405">
      <c r="B405" s="132"/>
    </row>
    <row r="406">
      <c r="B406" s="132"/>
    </row>
    <row r="407">
      <c r="B407" s="132"/>
    </row>
    <row r="408">
      <c r="B408" s="132"/>
    </row>
    <row r="409">
      <c r="B409" s="132"/>
    </row>
    <row r="410">
      <c r="B410" s="132"/>
    </row>
    <row r="411">
      <c r="B411" s="132"/>
    </row>
    <row r="412">
      <c r="B412" s="132"/>
    </row>
    <row r="413">
      <c r="B413" s="132"/>
    </row>
    <row r="414">
      <c r="B414" s="132"/>
    </row>
    <row r="415">
      <c r="B415" s="132"/>
    </row>
    <row r="416">
      <c r="B416" s="132"/>
    </row>
    <row r="417">
      <c r="B417" s="132"/>
    </row>
    <row r="418">
      <c r="B418" s="132"/>
    </row>
    <row r="419">
      <c r="B419" s="132"/>
    </row>
    <row r="420">
      <c r="B420" s="132"/>
    </row>
    <row r="421">
      <c r="B421" s="132"/>
    </row>
    <row r="422">
      <c r="B422" s="132"/>
    </row>
    <row r="423">
      <c r="B423" s="132"/>
    </row>
    <row r="424">
      <c r="B424" s="132"/>
    </row>
    <row r="425">
      <c r="B425" s="132"/>
    </row>
    <row r="426">
      <c r="B426" s="132"/>
    </row>
    <row r="427">
      <c r="B427" s="132"/>
    </row>
    <row r="428">
      <c r="B428" s="132"/>
    </row>
    <row r="429">
      <c r="B429" s="132"/>
    </row>
    <row r="430">
      <c r="B430" s="132"/>
    </row>
    <row r="431">
      <c r="B431" s="132"/>
    </row>
    <row r="432">
      <c r="B432" s="132"/>
    </row>
    <row r="433">
      <c r="B433" s="132"/>
    </row>
    <row r="434">
      <c r="B434" s="132"/>
    </row>
    <row r="435">
      <c r="B435" s="132"/>
    </row>
    <row r="436">
      <c r="B436" s="132"/>
    </row>
    <row r="437">
      <c r="B437" s="132"/>
    </row>
    <row r="438">
      <c r="B438" s="132"/>
    </row>
    <row r="439">
      <c r="B439" s="132"/>
    </row>
    <row r="440">
      <c r="B440" s="132"/>
    </row>
    <row r="441">
      <c r="B441" s="132"/>
    </row>
    <row r="442">
      <c r="B442" s="132"/>
    </row>
    <row r="443">
      <c r="B443" s="132"/>
    </row>
    <row r="444">
      <c r="B444" s="132"/>
    </row>
    <row r="445">
      <c r="B445" s="132"/>
    </row>
    <row r="446">
      <c r="B446" s="132"/>
    </row>
    <row r="447">
      <c r="B447" s="132"/>
    </row>
    <row r="448">
      <c r="B448" s="132"/>
    </row>
    <row r="449">
      <c r="B449" s="132"/>
    </row>
    <row r="450">
      <c r="B450" s="132"/>
    </row>
    <row r="451">
      <c r="B451" s="132"/>
    </row>
    <row r="452">
      <c r="B452" s="132"/>
    </row>
    <row r="453">
      <c r="B453" s="132"/>
    </row>
    <row r="454">
      <c r="B454" s="132"/>
    </row>
    <row r="455">
      <c r="B455" s="132"/>
    </row>
    <row r="456">
      <c r="B456" s="132"/>
    </row>
    <row r="457">
      <c r="B457" s="132"/>
    </row>
    <row r="458">
      <c r="B458" s="132"/>
    </row>
    <row r="459">
      <c r="B459" s="132"/>
    </row>
    <row r="460">
      <c r="B460" s="132"/>
    </row>
    <row r="461">
      <c r="B461" s="132"/>
    </row>
    <row r="462">
      <c r="B462" s="132"/>
    </row>
    <row r="463">
      <c r="B463" s="132"/>
    </row>
    <row r="464">
      <c r="B464" s="132"/>
    </row>
    <row r="465">
      <c r="B465" s="132"/>
    </row>
    <row r="466">
      <c r="B466" s="132"/>
    </row>
    <row r="467">
      <c r="B467" s="132"/>
    </row>
    <row r="468">
      <c r="B468" s="132"/>
    </row>
    <row r="469">
      <c r="B469" s="132"/>
    </row>
    <row r="470">
      <c r="B470" s="132"/>
    </row>
    <row r="471">
      <c r="B471" s="132"/>
    </row>
    <row r="472">
      <c r="B472" s="132"/>
    </row>
    <row r="473">
      <c r="B473" s="132"/>
    </row>
    <row r="474">
      <c r="B474" s="132"/>
    </row>
    <row r="475">
      <c r="B475" s="132"/>
    </row>
    <row r="476">
      <c r="B476" s="132"/>
    </row>
    <row r="477">
      <c r="B477" s="132"/>
    </row>
    <row r="478">
      <c r="B478" s="132"/>
    </row>
    <row r="479">
      <c r="B479" s="132"/>
    </row>
    <row r="480">
      <c r="B480" s="132"/>
    </row>
    <row r="481">
      <c r="B481" s="132"/>
    </row>
    <row r="482">
      <c r="B482" s="132"/>
    </row>
    <row r="483">
      <c r="B483" s="132"/>
    </row>
    <row r="484">
      <c r="B484" s="132"/>
    </row>
    <row r="485">
      <c r="B485" s="132"/>
    </row>
    <row r="486">
      <c r="B486" s="132"/>
    </row>
    <row r="487">
      <c r="B487" s="132"/>
    </row>
    <row r="488">
      <c r="B488" s="132"/>
    </row>
    <row r="489">
      <c r="B489" s="132"/>
    </row>
    <row r="490">
      <c r="B490" s="132"/>
    </row>
    <row r="491">
      <c r="B491" s="132"/>
    </row>
    <row r="492">
      <c r="B492" s="132"/>
    </row>
    <row r="493">
      <c r="B493" s="132"/>
    </row>
    <row r="494">
      <c r="B494" s="132"/>
    </row>
    <row r="495">
      <c r="B495" s="132"/>
    </row>
    <row r="496">
      <c r="B496" s="132"/>
    </row>
    <row r="497">
      <c r="B497" s="132"/>
    </row>
    <row r="498">
      <c r="B498" s="132"/>
    </row>
    <row r="499">
      <c r="B499" s="132"/>
    </row>
    <row r="500">
      <c r="B500" s="132"/>
    </row>
    <row r="501">
      <c r="B501" s="132"/>
    </row>
    <row r="502">
      <c r="B502" s="132"/>
    </row>
    <row r="503">
      <c r="B503" s="132"/>
    </row>
    <row r="504">
      <c r="B504" s="132"/>
    </row>
    <row r="505">
      <c r="B505" s="132"/>
    </row>
    <row r="506">
      <c r="B506" s="132"/>
    </row>
    <row r="507">
      <c r="B507" s="132"/>
    </row>
    <row r="508">
      <c r="B508" s="132"/>
    </row>
    <row r="509">
      <c r="B509" s="132"/>
    </row>
    <row r="510">
      <c r="B510" s="132"/>
    </row>
    <row r="511">
      <c r="B511" s="132"/>
    </row>
    <row r="512">
      <c r="B512" s="132"/>
    </row>
    <row r="513">
      <c r="B513" s="132"/>
    </row>
    <row r="514">
      <c r="B514" s="132"/>
    </row>
    <row r="515">
      <c r="B515" s="132"/>
    </row>
    <row r="516">
      <c r="B516" s="132"/>
    </row>
    <row r="517">
      <c r="B517" s="132"/>
    </row>
    <row r="518">
      <c r="B518" s="132"/>
    </row>
    <row r="519">
      <c r="B519" s="132"/>
    </row>
    <row r="520">
      <c r="B520" s="132"/>
    </row>
    <row r="521">
      <c r="B521" s="132"/>
    </row>
    <row r="522">
      <c r="B522" s="132"/>
    </row>
    <row r="523">
      <c r="B523" s="132"/>
    </row>
    <row r="524">
      <c r="B524" s="132"/>
    </row>
    <row r="525">
      <c r="B525" s="132"/>
    </row>
    <row r="526">
      <c r="B526" s="132"/>
    </row>
    <row r="527">
      <c r="B527" s="132"/>
    </row>
    <row r="528">
      <c r="B528" s="132"/>
    </row>
    <row r="529">
      <c r="B529" s="132"/>
    </row>
    <row r="530">
      <c r="B530" s="132"/>
    </row>
    <row r="531">
      <c r="B531" s="132"/>
    </row>
    <row r="532">
      <c r="B532" s="132"/>
    </row>
    <row r="533">
      <c r="B533" s="132"/>
    </row>
    <row r="534">
      <c r="B534" s="132"/>
    </row>
    <row r="535">
      <c r="B535" s="132"/>
    </row>
    <row r="536">
      <c r="B536" s="132"/>
    </row>
    <row r="537">
      <c r="B537" s="132"/>
    </row>
    <row r="538">
      <c r="B538" s="132"/>
    </row>
    <row r="539">
      <c r="B539" s="132"/>
    </row>
    <row r="540">
      <c r="B540" s="132"/>
    </row>
    <row r="541">
      <c r="B541" s="132"/>
    </row>
    <row r="542">
      <c r="B542" s="132"/>
    </row>
    <row r="543">
      <c r="B543" s="132"/>
    </row>
    <row r="544">
      <c r="B544" s="132"/>
    </row>
    <row r="545">
      <c r="B545" s="132"/>
    </row>
    <row r="546">
      <c r="B546" s="132"/>
    </row>
    <row r="547">
      <c r="B547" s="132"/>
    </row>
    <row r="548">
      <c r="B548" s="132"/>
    </row>
    <row r="549">
      <c r="B549" s="132"/>
    </row>
    <row r="550">
      <c r="B550" s="132"/>
    </row>
    <row r="551">
      <c r="B551" s="132"/>
    </row>
    <row r="552">
      <c r="B552" s="132"/>
    </row>
    <row r="553">
      <c r="B553" s="132"/>
    </row>
    <row r="554">
      <c r="B554" s="132"/>
    </row>
    <row r="555">
      <c r="B555" s="132"/>
    </row>
    <row r="556">
      <c r="B556" s="132"/>
    </row>
    <row r="557">
      <c r="B557" s="132"/>
    </row>
    <row r="558">
      <c r="B558" s="132"/>
    </row>
    <row r="559">
      <c r="B559" s="132"/>
    </row>
    <row r="560">
      <c r="B560" s="132"/>
    </row>
    <row r="561">
      <c r="B561" s="132"/>
    </row>
    <row r="562">
      <c r="B562" s="132"/>
    </row>
    <row r="563">
      <c r="B563" s="132"/>
    </row>
    <row r="564">
      <c r="B564" s="132"/>
    </row>
    <row r="565">
      <c r="B565" s="132"/>
    </row>
    <row r="566">
      <c r="B566" s="132"/>
    </row>
    <row r="567">
      <c r="B567" s="132"/>
    </row>
    <row r="568">
      <c r="B568" s="132"/>
    </row>
    <row r="569">
      <c r="B569" s="132"/>
    </row>
    <row r="570">
      <c r="B570" s="132"/>
    </row>
    <row r="571">
      <c r="B571" s="132"/>
    </row>
    <row r="572">
      <c r="B572" s="132"/>
    </row>
    <row r="573">
      <c r="B573" s="132"/>
    </row>
    <row r="574">
      <c r="B574" s="132"/>
    </row>
    <row r="575">
      <c r="B575" s="132"/>
    </row>
    <row r="576">
      <c r="B576" s="132"/>
    </row>
    <row r="577">
      <c r="B577" s="132"/>
    </row>
    <row r="578">
      <c r="B578" s="132"/>
    </row>
    <row r="579">
      <c r="B579" s="132"/>
    </row>
    <row r="580">
      <c r="B580" s="132"/>
    </row>
    <row r="581">
      <c r="B581" s="132"/>
    </row>
    <row r="582">
      <c r="B582" s="132"/>
    </row>
    <row r="583">
      <c r="B583" s="132"/>
    </row>
    <row r="584">
      <c r="B584" s="132"/>
    </row>
    <row r="585">
      <c r="B585" s="132"/>
    </row>
    <row r="586">
      <c r="B586" s="132"/>
    </row>
    <row r="587">
      <c r="B587" s="132"/>
    </row>
    <row r="588">
      <c r="B588" s="132"/>
    </row>
    <row r="589">
      <c r="B589" s="132"/>
    </row>
    <row r="590">
      <c r="B590" s="132"/>
    </row>
    <row r="591">
      <c r="B591" s="132"/>
    </row>
    <row r="592">
      <c r="B592" s="132"/>
    </row>
    <row r="593">
      <c r="B593" s="132"/>
    </row>
    <row r="594">
      <c r="B594" s="132"/>
    </row>
    <row r="595">
      <c r="B595" s="132"/>
    </row>
    <row r="596">
      <c r="B596" s="132"/>
    </row>
    <row r="597">
      <c r="B597" s="132"/>
    </row>
    <row r="598">
      <c r="B598" s="132"/>
    </row>
    <row r="599">
      <c r="B599" s="132"/>
    </row>
    <row r="600">
      <c r="B600" s="132"/>
    </row>
    <row r="601">
      <c r="B601" s="132"/>
    </row>
    <row r="602">
      <c r="B602" s="132"/>
    </row>
    <row r="603">
      <c r="B603" s="132"/>
    </row>
    <row r="604">
      <c r="B604" s="132"/>
    </row>
    <row r="605">
      <c r="B605" s="132"/>
    </row>
    <row r="606">
      <c r="B606" s="132"/>
    </row>
    <row r="607">
      <c r="B607" s="132"/>
    </row>
    <row r="608">
      <c r="B608" s="132"/>
    </row>
    <row r="609">
      <c r="B609" s="132"/>
    </row>
    <row r="610">
      <c r="B610" s="132"/>
    </row>
    <row r="611">
      <c r="B611" s="132"/>
    </row>
    <row r="612">
      <c r="B612" s="132"/>
    </row>
    <row r="613">
      <c r="B613" s="132"/>
    </row>
    <row r="614">
      <c r="B614" s="132"/>
    </row>
    <row r="615">
      <c r="B615" s="132"/>
    </row>
    <row r="616">
      <c r="B616" s="132"/>
    </row>
    <row r="617">
      <c r="B617" s="132"/>
    </row>
    <row r="618">
      <c r="B618" s="132"/>
    </row>
    <row r="619">
      <c r="B619" s="132"/>
    </row>
    <row r="620">
      <c r="B620" s="132"/>
    </row>
    <row r="621">
      <c r="B621" s="132"/>
    </row>
    <row r="622">
      <c r="B622" s="132"/>
    </row>
    <row r="623">
      <c r="B623" s="132"/>
    </row>
    <row r="624">
      <c r="B624" s="132"/>
    </row>
    <row r="625">
      <c r="B625" s="132"/>
    </row>
    <row r="626">
      <c r="B626" s="132"/>
    </row>
    <row r="627">
      <c r="B627" s="132"/>
    </row>
    <row r="628">
      <c r="B628" s="132"/>
    </row>
    <row r="629">
      <c r="B629" s="132"/>
    </row>
    <row r="630">
      <c r="B630" s="132"/>
    </row>
    <row r="631">
      <c r="B631" s="132"/>
    </row>
    <row r="632">
      <c r="B632" s="132"/>
    </row>
    <row r="633">
      <c r="B633" s="132"/>
    </row>
    <row r="634">
      <c r="B634" s="132"/>
    </row>
    <row r="635">
      <c r="B635" s="132"/>
    </row>
    <row r="636">
      <c r="B636" s="132"/>
    </row>
    <row r="637">
      <c r="B637" s="132"/>
    </row>
    <row r="638">
      <c r="B638" s="132"/>
    </row>
    <row r="639">
      <c r="B639" s="132"/>
    </row>
    <row r="640">
      <c r="B640" s="132"/>
    </row>
    <row r="641">
      <c r="B641" s="132"/>
    </row>
    <row r="642">
      <c r="B642" s="132"/>
    </row>
    <row r="643">
      <c r="B643" s="132"/>
    </row>
    <row r="644">
      <c r="B644" s="132"/>
    </row>
    <row r="645">
      <c r="B645" s="132"/>
    </row>
    <row r="646">
      <c r="B646" s="132"/>
    </row>
    <row r="647">
      <c r="B647" s="132"/>
    </row>
    <row r="648">
      <c r="B648" s="132"/>
    </row>
    <row r="649">
      <c r="B649" s="132"/>
    </row>
    <row r="650">
      <c r="B650" s="132"/>
    </row>
    <row r="651">
      <c r="B651" s="132"/>
    </row>
    <row r="652">
      <c r="B652" s="132"/>
    </row>
    <row r="653">
      <c r="B653" s="132"/>
    </row>
    <row r="654">
      <c r="B654" s="132"/>
    </row>
    <row r="655">
      <c r="B655" s="132"/>
    </row>
    <row r="656">
      <c r="B656" s="132"/>
    </row>
    <row r="657">
      <c r="B657" s="132"/>
    </row>
    <row r="658">
      <c r="B658" s="132"/>
    </row>
    <row r="659">
      <c r="B659" s="132"/>
    </row>
    <row r="660">
      <c r="B660" s="132"/>
    </row>
    <row r="661">
      <c r="B661" s="132"/>
    </row>
    <row r="662">
      <c r="B662" s="132"/>
    </row>
    <row r="663">
      <c r="B663" s="132"/>
    </row>
    <row r="664">
      <c r="B664" s="132"/>
    </row>
    <row r="665">
      <c r="B665" s="132"/>
    </row>
    <row r="666">
      <c r="B666" s="132"/>
    </row>
    <row r="667">
      <c r="B667" s="132"/>
    </row>
    <row r="668">
      <c r="B668" s="132"/>
    </row>
    <row r="669">
      <c r="B669" s="132"/>
    </row>
    <row r="670">
      <c r="B670" s="132"/>
    </row>
    <row r="671">
      <c r="B671" s="132"/>
    </row>
    <row r="672">
      <c r="B672" s="132"/>
    </row>
    <row r="673">
      <c r="B673" s="132"/>
    </row>
    <row r="674">
      <c r="B674" s="132"/>
    </row>
    <row r="675">
      <c r="B675" s="132"/>
    </row>
    <row r="676">
      <c r="B676" s="132"/>
    </row>
    <row r="677">
      <c r="B677" s="132"/>
    </row>
    <row r="678">
      <c r="B678" s="132"/>
    </row>
    <row r="679">
      <c r="B679" s="132"/>
    </row>
    <row r="680">
      <c r="B680" s="132"/>
    </row>
    <row r="681">
      <c r="B681" s="132"/>
    </row>
    <row r="682">
      <c r="B682" s="132"/>
    </row>
    <row r="683">
      <c r="B683" s="132"/>
    </row>
    <row r="684">
      <c r="B684" s="132"/>
    </row>
    <row r="685">
      <c r="B685" s="132"/>
    </row>
    <row r="686">
      <c r="B686" s="132"/>
    </row>
    <row r="687">
      <c r="B687" s="132"/>
    </row>
    <row r="688">
      <c r="B688" s="132"/>
    </row>
    <row r="689">
      <c r="B689" s="132"/>
    </row>
    <row r="690">
      <c r="B690" s="132"/>
    </row>
    <row r="691">
      <c r="B691" s="132"/>
    </row>
    <row r="692">
      <c r="B692" s="132"/>
    </row>
    <row r="693">
      <c r="B693" s="132"/>
    </row>
    <row r="694">
      <c r="B694" s="132"/>
    </row>
    <row r="695">
      <c r="B695" s="132"/>
    </row>
    <row r="696">
      <c r="B696" s="132"/>
    </row>
    <row r="697">
      <c r="B697" s="132"/>
    </row>
    <row r="698">
      <c r="B698" s="132"/>
    </row>
    <row r="699">
      <c r="B699" s="132"/>
    </row>
    <row r="700">
      <c r="B700" s="132"/>
    </row>
    <row r="701">
      <c r="B701" s="132"/>
    </row>
    <row r="702">
      <c r="B702" s="132"/>
    </row>
    <row r="703">
      <c r="B703" s="132"/>
    </row>
    <row r="704">
      <c r="B704" s="132"/>
    </row>
    <row r="705">
      <c r="B705" s="132"/>
    </row>
    <row r="706">
      <c r="B706" s="132"/>
    </row>
    <row r="707">
      <c r="B707" s="132"/>
    </row>
    <row r="708">
      <c r="B708" s="132"/>
    </row>
    <row r="709">
      <c r="B709" s="132"/>
    </row>
    <row r="710">
      <c r="B710" s="132"/>
    </row>
    <row r="711">
      <c r="B711" s="132"/>
    </row>
    <row r="712">
      <c r="B712" s="132"/>
    </row>
    <row r="713">
      <c r="B713" s="132"/>
    </row>
    <row r="714">
      <c r="B714" s="132"/>
    </row>
    <row r="715">
      <c r="B715" s="132"/>
    </row>
    <row r="716">
      <c r="B716" s="132"/>
    </row>
    <row r="717">
      <c r="B717" s="132"/>
    </row>
    <row r="718">
      <c r="B718" s="132"/>
    </row>
    <row r="719">
      <c r="B719" s="132"/>
    </row>
    <row r="720">
      <c r="B720" s="132"/>
    </row>
    <row r="721">
      <c r="B721" s="132"/>
    </row>
    <row r="722">
      <c r="B722" s="132"/>
    </row>
    <row r="723">
      <c r="B723" s="132"/>
    </row>
    <row r="724">
      <c r="B724" s="132"/>
    </row>
    <row r="725">
      <c r="B725" s="132"/>
    </row>
    <row r="726">
      <c r="B726" s="132"/>
    </row>
    <row r="727">
      <c r="B727" s="132"/>
    </row>
    <row r="728">
      <c r="B728" s="132"/>
    </row>
    <row r="729">
      <c r="B729" s="132"/>
    </row>
    <row r="730">
      <c r="B730" s="132"/>
    </row>
    <row r="731">
      <c r="B731" s="132"/>
    </row>
    <row r="732">
      <c r="B732" s="132"/>
    </row>
    <row r="733">
      <c r="B733" s="132"/>
    </row>
    <row r="734">
      <c r="B734" s="132"/>
    </row>
    <row r="735">
      <c r="B735" s="132"/>
    </row>
    <row r="736">
      <c r="B736" s="132"/>
    </row>
    <row r="737">
      <c r="B737" s="132"/>
    </row>
    <row r="738">
      <c r="B738" s="132"/>
    </row>
    <row r="739">
      <c r="B739" s="132"/>
    </row>
    <row r="740">
      <c r="B740" s="132"/>
    </row>
    <row r="741">
      <c r="B741" s="132"/>
    </row>
    <row r="742">
      <c r="B742" s="132"/>
    </row>
    <row r="743">
      <c r="B743" s="132"/>
    </row>
    <row r="744">
      <c r="B744" s="132"/>
    </row>
    <row r="745">
      <c r="B745" s="132"/>
    </row>
    <row r="746">
      <c r="B746" s="132"/>
    </row>
    <row r="747">
      <c r="B747" s="132"/>
    </row>
    <row r="748">
      <c r="B748" s="132"/>
    </row>
    <row r="749">
      <c r="B749" s="132"/>
    </row>
    <row r="750">
      <c r="B750" s="132"/>
    </row>
    <row r="751">
      <c r="B751" s="132"/>
    </row>
    <row r="752">
      <c r="B752" s="132"/>
    </row>
    <row r="753">
      <c r="B753" s="132"/>
    </row>
    <row r="754">
      <c r="B754" s="132"/>
    </row>
    <row r="755">
      <c r="B755" s="132"/>
    </row>
    <row r="756">
      <c r="B756" s="132"/>
    </row>
    <row r="757">
      <c r="B757" s="132"/>
    </row>
    <row r="758">
      <c r="B758" s="132"/>
    </row>
    <row r="759">
      <c r="B759" s="132"/>
    </row>
    <row r="760">
      <c r="B760" s="132"/>
    </row>
    <row r="761">
      <c r="B761" s="132"/>
    </row>
    <row r="762">
      <c r="B762" s="132"/>
    </row>
    <row r="763">
      <c r="B763" s="132"/>
    </row>
    <row r="764">
      <c r="B764" s="132"/>
    </row>
    <row r="765">
      <c r="B765" s="132"/>
    </row>
    <row r="766">
      <c r="B766" s="132"/>
    </row>
    <row r="767">
      <c r="B767" s="132"/>
    </row>
    <row r="768">
      <c r="B768" s="132"/>
    </row>
    <row r="769">
      <c r="B769" s="132"/>
    </row>
    <row r="770">
      <c r="B770" s="132"/>
    </row>
    <row r="771">
      <c r="B771" s="132"/>
    </row>
    <row r="772">
      <c r="B772" s="132"/>
    </row>
    <row r="773">
      <c r="B773" s="132"/>
    </row>
    <row r="774">
      <c r="B774" s="132"/>
    </row>
    <row r="775">
      <c r="B775" s="132"/>
    </row>
    <row r="776">
      <c r="B776" s="132"/>
    </row>
    <row r="777">
      <c r="B777" s="132"/>
    </row>
    <row r="778">
      <c r="B778" s="132"/>
    </row>
    <row r="779">
      <c r="B779" s="132"/>
    </row>
    <row r="780">
      <c r="B780" s="132"/>
    </row>
    <row r="781">
      <c r="B781" s="132"/>
    </row>
    <row r="782">
      <c r="B782" s="132"/>
    </row>
    <row r="783">
      <c r="B783" s="132"/>
    </row>
    <row r="784">
      <c r="B784" s="132"/>
    </row>
    <row r="785">
      <c r="B785" s="132"/>
    </row>
    <row r="786">
      <c r="B786" s="132"/>
    </row>
    <row r="787">
      <c r="B787" s="132"/>
    </row>
    <row r="788">
      <c r="B788" s="132"/>
    </row>
    <row r="789">
      <c r="B789" s="132"/>
    </row>
    <row r="790">
      <c r="B790" s="132"/>
    </row>
    <row r="791">
      <c r="B791" s="132"/>
    </row>
    <row r="792">
      <c r="B792" s="132"/>
    </row>
    <row r="793">
      <c r="B793" s="132"/>
    </row>
    <row r="794">
      <c r="B794" s="132"/>
    </row>
    <row r="795">
      <c r="B795" s="132"/>
    </row>
    <row r="796">
      <c r="B796" s="132"/>
    </row>
    <row r="797">
      <c r="B797" s="132"/>
    </row>
    <row r="798">
      <c r="B798" s="132"/>
    </row>
    <row r="799">
      <c r="B799" s="132"/>
    </row>
    <row r="800">
      <c r="B800" s="132"/>
    </row>
    <row r="801">
      <c r="B801" s="132"/>
    </row>
    <row r="802">
      <c r="B802" s="132"/>
    </row>
    <row r="803">
      <c r="B803" s="132"/>
    </row>
    <row r="804">
      <c r="B804" s="132"/>
    </row>
    <row r="805">
      <c r="B805" s="132"/>
    </row>
    <row r="806">
      <c r="B806" s="132"/>
    </row>
    <row r="807">
      <c r="B807" s="132"/>
    </row>
    <row r="808">
      <c r="B808" s="132"/>
    </row>
    <row r="809">
      <c r="B809" s="132"/>
    </row>
    <row r="810">
      <c r="B810" s="132"/>
    </row>
    <row r="811">
      <c r="B811" s="132"/>
    </row>
    <row r="812">
      <c r="B812" s="132"/>
    </row>
    <row r="813">
      <c r="B813" s="132"/>
    </row>
    <row r="814">
      <c r="B814" s="132"/>
    </row>
    <row r="815">
      <c r="B815" s="132"/>
    </row>
    <row r="816">
      <c r="B816" s="132"/>
    </row>
    <row r="817">
      <c r="B817" s="132"/>
    </row>
    <row r="818">
      <c r="B818" s="132"/>
    </row>
    <row r="819">
      <c r="B819" s="132"/>
    </row>
    <row r="820">
      <c r="B820" s="132"/>
    </row>
    <row r="821">
      <c r="B821" s="132"/>
    </row>
    <row r="822">
      <c r="B822" s="132"/>
    </row>
    <row r="823">
      <c r="B823" s="132"/>
    </row>
    <row r="824">
      <c r="B824" s="132"/>
    </row>
    <row r="825">
      <c r="B825" s="132"/>
    </row>
    <row r="826">
      <c r="B826" s="132"/>
    </row>
    <row r="827">
      <c r="B827" s="132"/>
    </row>
    <row r="828">
      <c r="B828" s="132"/>
    </row>
    <row r="829">
      <c r="B829" s="132"/>
    </row>
    <row r="830">
      <c r="B830" s="132"/>
    </row>
    <row r="831">
      <c r="B831" s="132"/>
    </row>
    <row r="832">
      <c r="B832" s="132"/>
    </row>
    <row r="833">
      <c r="B833" s="132"/>
    </row>
    <row r="834">
      <c r="B834" s="132"/>
    </row>
    <row r="835">
      <c r="B835" s="132"/>
    </row>
    <row r="836">
      <c r="B836" s="132"/>
    </row>
    <row r="837">
      <c r="B837" s="132"/>
    </row>
    <row r="838">
      <c r="B838" s="132"/>
    </row>
    <row r="839">
      <c r="B839" s="132"/>
    </row>
    <row r="840">
      <c r="B840" s="132"/>
    </row>
    <row r="841">
      <c r="B841" s="132"/>
    </row>
    <row r="842">
      <c r="B842" s="132"/>
    </row>
    <row r="843">
      <c r="B843" s="132"/>
    </row>
    <row r="844">
      <c r="B844" s="132"/>
    </row>
    <row r="845">
      <c r="B845" s="132"/>
    </row>
    <row r="846">
      <c r="B846" s="132"/>
    </row>
    <row r="847">
      <c r="B847" s="132"/>
    </row>
    <row r="848">
      <c r="B848" s="132"/>
    </row>
    <row r="849">
      <c r="B849" s="132"/>
    </row>
    <row r="850">
      <c r="B850" s="132"/>
    </row>
    <row r="851">
      <c r="B851" s="132"/>
    </row>
    <row r="852">
      <c r="B852" s="132"/>
    </row>
    <row r="853">
      <c r="B853" s="132"/>
    </row>
    <row r="854">
      <c r="B854" s="132"/>
    </row>
    <row r="855">
      <c r="B855" s="132"/>
    </row>
    <row r="856">
      <c r="B856" s="132"/>
    </row>
    <row r="857">
      <c r="B857" s="132"/>
    </row>
    <row r="858">
      <c r="B858" s="132"/>
    </row>
    <row r="859">
      <c r="B859" s="132"/>
    </row>
    <row r="860">
      <c r="B860" s="132"/>
    </row>
    <row r="861">
      <c r="B861" s="132"/>
    </row>
    <row r="862">
      <c r="B862" s="132"/>
    </row>
    <row r="863">
      <c r="B863" s="132"/>
    </row>
    <row r="864">
      <c r="B864" s="132"/>
    </row>
    <row r="865">
      <c r="B865" s="132"/>
    </row>
    <row r="866">
      <c r="B866" s="132"/>
    </row>
    <row r="867">
      <c r="B867" s="132"/>
    </row>
    <row r="868">
      <c r="B868" s="132"/>
    </row>
    <row r="869">
      <c r="B869" s="132"/>
    </row>
    <row r="870">
      <c r="B870" s="132"/>
    </row>
    <row r="871">
      <c r="B871" s="132"/>
    </row>
    <row r="872">
      <c r="B872" s="132"/>
    </row>
    <row r="873">
      <c r="B873" s="132"/>
    </row>
    <row r="874">
      <c r="B874" s="132"/>
    </row>
    <row r="875">
      <c r="B875" s="132"/>
    </row>
    <row r="876">
      <c r="B876" s="132"/>
    </row>
    <row r="877">
      <c r="B877" s="132"/>
    </row>
    <row r="878">
      <c r="B878" s="132"/>
    </row>
    <row r="879">
      <c r="B879" s="132"/>
    </row>
    <row r="880">
      <c r="B880" s="132"/>
    </row>
    <row r="881">
      <c r="B881" s="132"/>
    </row>
    <row r="882">
      <c r="B882" s="132"/>
    </row>
    <row r="883">
      <c r="B883" s="132"/>
    </row>
    <row r="884">
      <c r="B884" s="132"/>
    </row>
    <row r="885">
      <c r="B885" s="132"/>
    </row>
    <row r="886">
      <c r="B886" s="132"/>
    </row>
    <row r="887">
      <c r="B887" s="132"/>
    </row>
    <row r="888">
      <c r="B888" s="132"/>
    </row>
    <row r="889">
      <c r="B889" s="132"/>
    </row>
    <row r="890">
      <c r="B890" s="132"/>
    </row>
    <row r="891">
      <c r="B891" s="132"/>
    </row>
    <row r="892">
      <c r="B892" s="132"/>
    </row>
    <row r="893">
      <c r="B893" s="132"/>
    </row>
    <row r="894">
      <c r="B894" s="132"/>
    </row>
    <row r="895">
      <c r="B895" s="132"/>
    </row>
    <row r="896">
      <c r="B896" s="132"/>
    </row>
    <row r="897">
      <c r="B897" s="132"/>
    </row>
    <row r="898">
      <c r="B898" s="132"/>
    </row>
    <row r="899">
      <c r="B899" s="132"/>
    </row>
    <row r="900">
      <c r="B900" s="132"/>
    </row>
    <row r="901">
      <c r="B901" s="132"/>
    </row>
    <row r="902">
      <c r="B902" s="132"/>
    </row>
    <row r="903">
      <c r="B903" s="132"/>
    </row>
    <row r="904">
      <c r="B904" s="132"/>
    </row>
    <row r="905">
      <c r="B905" s="132"/>
    </row>
    <row r="906">
      <c r="B906" s="132"/>
    </row>
    <row r="907">
      <c r="B907" s="132"/>
    </row>
    <row r="908">
      <c r="B908" s="132"/>
    </row>
    <row r="909">
      <c r="B909" s="132"/>
    </row>
    <row r="910">
      <c r="B910" s="132"/>
    </row>
    <row r="911">
      <c r="B911" s="132"/>
    </row>
    <row r="912">
      <c r="B912" s="132"/>
    </row>
    <row r="913">
      <c r="B913" s="132"/>
    </row>
    <row r="914">
      <c r="B914" s="132"/>
    </row>
    <row r="915">
      <c r="B915" s="132"/>
    </row>
    <row r="916">
      <c r="B916" s="132"/>
    </row>
    <row r="917">
      <c r="B917" s="132"/>
    </row>
    <row r="918">
      <c r="B918" s="132"/>
    </row>
    <row r="919">
      <c r="B919" s="132"/>
    </row>
    <row r="920">
      <c r="B920" s="132"/>
    </row>
    <row r="921">
      <c r="B921" s="132"/>
    </row>
    <row r="922">
      <c r="B922" s="132"/>
    </row>
    <row r="923">
      <c r="B923" s="132"/>
    </row>
    <row r="924">
      <c r="B924" s="132"/>
    </row>
    <row r="925">
      <c r="B925" s="132"/>
    </row>
    <row r="926">
      <c r="B926" s="132"/>
    </row>
    <row r="927">
      <c r="B927" s="132"/>
    </row>
    <row r="928">
      <c r="B928" s="132"/>
    </row>
    <row r="929">
      <c r="B929" s="132"/>
    </row>
    <row r="930">
      <c r="B930" s="132"/>
    </row>
    <row r="931">
      <c r="B931" s="132"/>
    </row>
    <row r="932">
      <c r="B932" s="132"/>
    </row>
    <row r="933">
      <c r="B933" s="132"/>
    </row>
    <row r="934">
      <c r="B934" s="132"/>
    </row>
    <row r="935">
      <c r="B935" s="132"/>
    </row>
    <row r="936">
      <c r="B936" s="132"/>
    </row>
    <row r="937">
      <c r="B937" s="132"/>
    </row>
    <row r="938">
      <c r="B938" s="132"/>
    </row>
    <row r="939">
      <c r="B939" s="132"/>
    </row>
    <row r="940">
      <c r="B940" s="132"/>
    </row>
    <row r="941">
      <c r="B941" s="132"/>
    </row>
    <row r="942">
      <c r="B942" s="132"/>
    </row>
    <row r="943">
      <c r="B943" s="132"/>
    </row>
    <row r="944">
      <c r="B944" s="132"/>
    </row>
    <row r="945">
      <c r="B945" s="132"/>
    </row>
    <row r="946">
      <c r="B946" s="132"/>
    </row>
    <row r="947">
      <c r="B947" s="132"/>
    </row>
    <row r="948">
      <c r="B948" s="132"/>
    </row>
    <row r="949">
      <c r="B949" s="132"/>
    </row>
    <row r="950">
      <c r="B950" s="132"/>
    </row>
    <row r="951">
      <c r="B951" s="132"/>
    </row>
    <row r="952">
      <c r="B952" s="132"/>
    </row>
    <row r="953">
      <c r="B953" s="132"/>
    </row>
    <row r="954">
      <c r="B954" s="132"/>
    </row>
    <row r="955">
      <c r="B955" s="132"/>
    </row>
    <row r="956">
      <c r="B956" s="132"/>
    </row>
    <row r="957">
      <c r="B957" s="132"/>
    </row>
    <row r="958">
      <c r="B958" s="132"/>
    </row>
    <row r="959">
      <c r="B959" s="132"/>
    </row>
    <row r="960">
      <c r="B960" s="132"/>
    </row>
    <row r="961">
      <c r="B961" s="132"/>
    </row>
    <row r="962">
      <c r="B962" s="132"/>
    </row>
    <row r="963">
      <c r="B963" s="132"/>
    </row>
    <row r="964">
      <c r="B964" s="132"/>
    </row>
    <row r="965">
      <c r="B965" s="132"/>
    </row>
    <row r="966">
      <c r="B966" s="132"/>
    </row>
    <row r="967">
      <c r="B967" s="132"/>
    </row>
    <row r="968">
      <c r="B968" s="132"/>
    </row>
    <row r="969">
      <c r="B969" s="132"/>
    </row>
    <row r="970">
      <c r="B970" s="132"/>
    </row>
    <row r="971">
      <c r="B971" s="132"/>
    </row>
    <row r="972">
      <c r="B972" s="132"/>
    </row>
    <row r="973">
      <c r="B973" s="132"/>
    </row>
    <row r="974">
      <c r="B974" s="132"/>
    </row>
    <row r="975">
      <c r="B975" s="132"/>
    </row>
    <row r="976">
      <c r="B976" s="132"/>
    </row>
    <row r="977">
      <c r="B977" s="132"/>
    </row>
    <row r="978">
      <c r="B978" s="132"/>
    </row>
    <row r="979">
      <c r="B979" s="132"/>
    </row>
    <row r="980">
      <c r="B980" s="132"/>
    </row>
    <row r="981">
      <c r="B981" s="132"/>
    </row>
    <row r="982">
      <c r="B982" s="132"/>
    </row>
    <row r="983">
      <c r="B983" s="132"/>
    </row>
    <row r="984">
      <c r="B984" s="132"/>
    </row>
    <row r="985">
      <c r="B985" s="132"/>
    </row>
    <row r="986">
      <c r="B986" s="132"/>
    </row>
    <row r="987">
      <c r="B987" s="132"/>
    </row>
    <row r="988">
      <c r="B988" s="132"/>
    </row>
    <row r="989">
      <c r="B989" s="132"/>
    </row>
    <row r="990">
      <c r="B990" s="132"/>
    </row>
    <row r="991">
      <c r="B991" s="132"/>
    </row>
    <row r="992">
      <c r="B992" s="132"/>
    </row>
    <row r="993">
      <c r="B993" s="132"/>
    </row>
    <row r="994">
      <c r="B994" s="132"/>
    </row>
    <row r="995">
      <c r="B995" s="132"/>
    </row>
    <row r="996">
      <c r="B996" s="132"/>
    </row>
    <row r="997">
      <c r="B997" s="132"/>
    </row>
    <row r="998">
      <c r="B998" s="132"/>
    </row>
    <row r="999">
      <c r="B999" s="132"/>
    </row>
    <row r="1000">
      <c r="B1000" s="132"/>
    </row>
  </sheetData>
  <dataValidations>
    <dataValidation type="custom" allowBlank="1" showDropDown="1" sqref="E2:E10">
      <formula1>OR(NOT(ISERROR(DATEVALUE(E2))), AND(ISNUMBER(E2), LEFT(CELL("format", E2))="D"))</formula1>
    </dataValidation>
    <dataValidation type="list" allowBlank="1" showDropDown="1" showErrorMessage="1" sqref="C2:C10">
      <formula1>"L,L + 1.8"</formula1>
    </dataValidation>
    <dataValidation type="custom" allowBlank="1" showDropDown="1" sqref="G2:G10">
      <formula1>AND(ISNUMBER(G2),(NOT(OR(NOT(ISERROR(DATEVALUE(G2))), AND(ISNUMBER(G2), LEFT(CELL("format", G2))="D")))))</formula1>
    </dataValidation>
  </dataValidations>
  <drawing r:id="rId4"/>
  <legacyDrawing r:id="rId5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1" max="11" width="24.86"/>
  </cols>
  <sheetData>
    <row r="1">
      <c r="A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>
      <c r="A2" s="147"/>
      <c r="B2" s="148" t="s">
        <v>352</v>
      </c>
      <c r="C2" s="149"/>
      <c r="D2" s="149"/>
      <c r="E2" s="149"/>
      <c r="F2" s="149"/>
      <c r="G2" s="149"/>
      <c r="H2" s="149"/>
      <c r="I2" s="150"/>
      <c r="J2" s="147"/>
      <c r="K2" s="147"/>
      <c r="L2" s="147"/>
    </row>
    <row r="3">
      <c r="A3" s="147"/>
      <c r="B3" s="151" t="s">
        <v>355</v>
      </c>
      <c r="C3" s="152" t="s">
        <v>356</v>
      </c>
      <c r="D3" s="152" t="s">
        <v>357</v>
      </c>
      <c r="E3" s="152" t="s">
        <v>358</v>
      </c>
      <c r="F3" s="152" t="s">
        <v>359</v>
      </c>
      <c r="G3" s="152" t="s">
        <v>360</v>
      </c>
      <c r="H3" s="152" t="s">
        <v>361</v>
      </c>
      <c r="I3" s="152" t="s">
        <v>363</v>
      </c>
      <c r="J3" s="147"/>
      <c r="K3" s="147"/>
      <c r="L3" s="147"/>
    </row>
    <row r="4">
      <c r="A4" s="147"/>
      <c r="B4" s="151" t="s">
        <v>109</v>
      </c>
      <c r="C4" s="153">
        <v>678.67</v>
      </c>
      <c r="D4" s="153">
        <v>412.2</v>
      </c>
      <c r="E4" s="153">
        <v>364.02</v>
      </c>
      <c r="F4" s="153">
        <v>368.31</v>
      </c>
      <c r="G4" s="153">
        <v>396.99</v>
      </c>
      <c r="H4" s="153">
        <v>133.97</v>
      </c>
      <c r="I4" s="153">
        <v>393.7</v>
      </c>
      <c r="J4" s="147"/>
      <c r="K4" s="147"/>
      <c r="L4" s="147"/>
    </row>
    <row r="5">
      <c r="A5" s="147"/>
      <c r="B5" s="151" t="s">
        <v>138</v>
      </c>
      <c r="C5" s="153">
        <v>437.56</v>
      </c>
      <c r="D5" s="153">
        <v>268.93</v>
      </c>
      <c r="E5" s="153">
        <v>218.18</v>
      </c>
      <c r="F5" s="153">
        <v>194.13</v>
      </c>
      <c r="G5" s="153">
        <v>300.78</v>
      </c>
      <c r="H5" s="153">
        <v>101.86</v>
      </c>
      <c r="I5" s="153">
        <v>287.46</v>
      </c>
      <c r="J5" s="147"/>
      <c r="K5" s="147"/>
      <c r="L5" s="147"/>
    </row>
    <row r="6">
      <c r="A6" s="147"/>
      <c r="B6" s="151" t="s">
        <v>176</v>
      </c>
      <c r="C6" s="153">
        <v>301.2</v>
      </c>
      <c r="D6" s="153">
        <v>222.18</v>
      </c>
      <c r="E6" s="153">
        <v>143.61</v>
      </c>
      <c r="F6" s="153">
        <v>125.48</v>
      </c>
      <c r="G6" s="153">
        <v>223.13</v>
      </c>
      <c r="H6" s="153">
        <v>70.66</v>
      </c>
      <c r="I6" s="153">
        <v>181.34</v>
      </c>
      <c r="J6" s="147"/>
      <c r="K6" s="147"/>
      <c r="L6" s="147"/>
    </row>
    <row r="7">
      <c r="A7" s="147"/>
      <c r="B7" s="151" t="s">
        <v>146</v>
      </c>
      <c r="C7" s="153">
        <v>291.27</v>
      </c>
      <c r="D7" s="153">
        <v>147.14</v>
      </c>
      <c r="E7" s="153">
        <v>126.67</v>
      </c>
      <c r="F7" s="153">
        <v>109.91</v>
      </c>
      <c r="G7" s="153">
        <v>171.2</v>
      </c>
      <c r="H7" s="153">
        <v>37.7</v>
      </c>
      <c r="I7" s="153">
        <v>114.56</v>
      </c>
      <c r="J7" s="147"/>
      <c r="K7" s="147"/>
      <c r="L7" s="147"/>
    </row>
    <row r="8">
      <c r="A8" s="147"/>
      <c r="B8" s="151" t="s">
        <v>366</v>
      </c>
      <c r="C8" s="153">
        <v>205.06</v>
      </c>
      <c r="D8" s="153">
        <v>52.58</v>
      </c>
      <c r="E8" s="153">
        <v>84.88</v>
      </c>
      <c r="F8" s="153">
        <v>94.04</v>
      </c>
      <c r="G8" s="153">
        <v>117.79</v>
      </c>
      <c r="H8" s="153">
        <v>22.16</v>
      </c>
      <c r="I8" s="153">
        <v>83.2</v>
      </c>
      <c r="J8" s="147"/>
      <c r="K8" s="147"/>
      <c r="L8" s="147"/>
    </row>
    <row r="9">
      <c r="A9" s="147"/>
      <c r="B9" s="151" t="s">
        <v>161</v>
      </c>
      <c r="C9" s="153">
        <v>154.43</v>
      </c>
      <c r="D9" s="153">
        <v>28.91</v>
      </c>
      <c r="E9" s="153">
        <v>57.96</v>
      </c>
      <c r="F9" s="153">
        <v>70.6</v>
      </c>
      <c r="G9" s="153">
        <v>83.03</v>
      </c>
      <c r="H9" s="153">
        <v>16.51</v>
      </c>
      <c r="I9" s="153">
        <v>47.6</v>
      </c>
      <c r="J9" s="147"/>
      <c r="K9" s="147"/>
      <c r="L9" s="147"/>
    </row>
    <row r="10">
      <c r="A10" s="147"/>
      <c r="B10" s="151" t="s">
        <v>179</v>
      </c>
      <c r="C10" s="153">
        <v>91.0</v>
      </c>
      <c r="D10" s="153">
        <v>19.87</v>
      </c>
      <c r="E10" s="153">
        <v>51.15</v>
      </c>
      <c r="F10" s="153">
        <v>38.13</v>
      </c>
      <c r="G10" s="153">
        <v>68.08</v>
      </c>
      <c r="H10" s="153">
        <v>11.35</v>
      </c>
      <c r="I10" s="153">
        <v>44.15</v>
      </c>
      <c r="J10" s="147"/>
      <c r="K10" s="147"/>
      <c r="L10" s="147"/>
    </row>
    <row r="11">
      <c r="A11" s="147"/>
      <c r="B11" s="151" t="s">
        <v>367</v>
      </c>
      <c r="C11" s="153">
        <v>0.0</v>
      </c>
      <c r="D11" s="153">
        <v>0.0</v>
      </c>
      <c r="E11" s="153">
        <v>32.01</v>
      </c>
      <c r="F11" s="153">
        <v>19.07</v>
      </c>
      <c r="G11" s="153">
        <v>27.24</v>
      </c>
      <c r="H11" s="153">
        <v>0.0</v>
      </c>
      <c r="I11" s="153">
        <v>23.85</v>
      </c>
      <c r="J11" s="147"/>
      <c r="K11" s="147"/>
      <c r="L11" s="147"/>
    </row>
    <row r="12">
      <c r="A12" s="147"/>
      <c r="B12" s="151" t="s">
        <v>368</v>
      </c>
      <c r="C12" s="153">
        <v>0.0</v>
      </c>
      <c r="D12" s="153">
        <v>0.0</v>
      </c>
      <c r="E12" s="153">
        <v>6.4</v>
      </c>
      <c r="F12" s="153">
        <v>0.0</v>
      </c>
      <c r="G12" s="153">
        <v>0.0</v>
      </c>
      <c r="H12" s="153">
        <v>0.0</v>
      </c>
      <c r="I12" s="153">
        <v>0.0</v>
      </c>
      <c r="J12" s="147"/>
      <c r="K12" s="147"/>
      <c r="L12" s="147"/>
    </row>
    <row r="13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</row>
    <row r="14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>
      <c r="A15" s="147"/>
      <c r="B15" s="154"/>
      <c r="C15" s="152" t="s">
        <v>356</v>
      </c>
      <c r="D15" s="152" t="s">
        <v>357</v>
      </c>
      <c r="E15" s="152" t="s">
        <v>358</v>
      </c>
      <c r="F15" s="152" t="s">
        <v>359</v>
      </c>
      <c r="G15" s="152" t="s">
        <v>360</v>
      </c>
      <c r="H15" s="152" t="s">
        <v>361</v>
      </c>
      <c r="I15" s="152" t="s">
        <v>369</v>
      </c>
      <c r="J15" s="147"/>
      <c r="K15" s="147"/>
      <c r="L15" s="147"/>
    </row>
    <row r="16">
      <c r="A16" s="147"/>
      <c r="B16" s="151" t="s">
        <v>355</v>
      </c>
      <c r="C16" s="155" t="s">
        <v>138</v>
      </c>
      <c r="D16" s="155" t="s">
        <v>109</v>
      </c>
      <c r="E16" s="155" t="s">
        <v>109</v>
      </c>
      <c r="F16" s="155" t="s">
        <v>109</v>
      </c>
      <c r="G16" s="155" t="s">
        <v>109</v>
      </c>
      <c r="H16" s="155" t="s">
        <v>109</v>
      </c>
      <c r="I16" s="155" t="s">
        <v>109</v>
      </c>
      <c r="J16" s="147"/>
      <c r="K16" s="147"/>
      <c r="L16" s="147"/>
    </row>
    <row r="17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</row>
    <row r="18">
      <c r="A18" s="147"/>
      <c r="B18" s="147"/>
      <c r="C18" s="156">
        <f>VLOOKUP(C16,$B$4:$I$12,2,FALSE)</f>
        <v>437.56</v>
      </c>
      <c r="D18" s="156">
        <f>VLOOKUP(D16,$B$4:$I$12,3,FALSE)</f>
        <v>412.2</v>
      </c>
      <c r="E18" s="156">
        <f>VLOOKUP(E16,$B$4:$I$12,4,FALSE)</f>
        <v>364.02</v>
      </c>
      <c r="F18" s="156">
        <f>VLOOKUP(F16,$B$4:$I$12,5,FALSE)</f>
        <v>368.31</v>
      </c>
      <c r="G18" s="156">
        <f>VLOOKUP(G16,$B$4:$I$12,6,FALSE)</f>
        <v>396.99</v>
      </c>
      <c r="H18" s="156">
        <f>VLOOKUP(H16,$B$4:$I$12,7,FALSE)</f>
        <v>133.97</v>
      </c>
      <c r="I18" s="156">
        <f>VLOOKUP(I16,$B$4:$I$12,8,FALSE)</f>
        <v>393.7</v>
      </c>
      <c r="J18" s="147"/>
      <c r="K18" s="157" t="s">
        <v>370</v>
      </c>
      <c r="L18" s="158">
        <f>L19-H18</f>
        <v>2372.78</v>
      </c>
    </row>
    <row r="19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57" t="s">
        <v>371</v>
      </c>
      <c r="L19" s="158">
        <f>SUM(C18:I18)</f>
        <v>2506.75</v>
      </c>
    </row>
    <row r="20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57" t="s">
        <v>372</v>
      </c>
      <c r="L20" s="159">
        <f>E18</f>
        <v>364.02</v>
      </c>
    </row>
    <row r="21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57" t="s">
        <v>373</v>
      </c>
      <c r="L21" s="159">
        <f>C18+D18+E18+G18+I18</f>
        <v>2004.47</v>
      </c>
    </row>
    <row r="2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57" t="s">
        <v>374</v>
      </c>
      <c r="L22" s="159">
        <f>C18+E18+F18+G18+I18</f>
        <v>1960.58</v>
      </c>
    </row>
    <row r="23">
      <c r="A23" s="147"/>
      <c r="B23" s="160"/>
      <c r="D23" s="147"/>
      <c r="E23" s="147"/>
      <c r="F23" s="147"/>
      <c r="G23" s="147"/>
      <c r="H23" s="147"/>
      <c r="I23" s="147"/>
      <c r="J23" s="147"/>
      <c r="K23" s="147"/>
      <c r="L23" s="161"/>
    </row>
    <row r="24">
      <c r="A24" s="147"/>
      <c r="B24" s="160"/>
      <c r="C24" s="160"/>
      <c r="D24" s="147"/>
      <c r="E24" s="147"/>
      <c r="F24" s="147"/>
      <c r="G24" s="147"/>
      <c r="H24" s="147"/>
      <c r="I24" s="147"/>
      <c r="J24" s="147"/>
      <c r="K24" s="147"/>
      <c r="L24" s="147"/>
    </row>
    <row r="25">
      <c r="A25" s="147"/>
      <c r="B25" s="162"/>
      <c r="C25" s="162"/>
      <c r="D25" s="147"/>
      <c r="E25" s="147"/>
      <c r="F25" s="147"/>
      <c r="G25" s="147"/>
      <c r="H25" s="147"/>
      <c r="I25" s="147"/>
      <c r="J25" s="147"/>
      <c r="K25" s="147"/>
      <c r="L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</row>
    <row r="27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</row>
    <row r="28">
      <c r="A28" s="147"/>
      <c r="B28" s="160"/>
      <c r="C28" s="160"/>
      <c r="D28" s="160"/>
      <c r="E28" s="160"/>
      <c r="F28" s="147"/>
      <c r="G28" s="147"/>
      <c r="H28" s="147"/>
      <c r="I28" s="147"/>
      <c r="J28" s="147"/>
      <c r="K28" s="147"/>
      <c r="L28" s="147"/>
    </row>
    <row r="29">
      <c r="A29" s="147"/>
      <c r="B29" s="163"/>
      <c r="C29" s="162"/>
      <c r="D29" s="162"/>
      <c r="E29" s="162"/>
      <c r="F29" s="147"/>
      <c r="G29" s="147"/>
      <c r="H29" s="147"/>
      <c r="I29" s="147"/>
      <c r="J29" s="147"/>
      <c r="K29" s="147"/>
      <c r="L29" s="147"/>
    </row>
    <row r="30">
      <c r="A30" s="147"/>
      <c r="B30" s="163"/>
      <c r="C30" s="162"/>
      <c r="D30" s="162"/>
      <c r="E30" s="162"/>
      <c r="F30" s="147"/>
      <c r="G30" s="147"/>
      <c r="H30" s="147"/>
      <c r="I30" s="147"/>
      <c r="J30" s="147"/>
      <c r="K30" s="147"/>
      <c r="L30" s="147"/>
    </row>
    <row r="31">
      <c r="A31" s="147"/>
      <c r="B31" s="163"/>
      <c r="C31" s="162"/>
      <c r="D31" s="162"/>
      <c r="E31" s="162"/>
      <c r="F31" s="147"/>
      <c r="G31" s="147"/>
      <c r="H31" s="147"/>
      <c r="I31" s="147"/>
      <c r="J31" s="147"/>
      <c r="K31" s="147"/>
      <c r="L31" s="147"/>
    </row>
    <row r="32">
      <c r="A32" s="147"/>
      <c r="B32" s="163"/>
      <c r="C32" s="162"/>
      <c r="D32" s="162"/>
      <c r="E32" s="162"/>
      <c r="F32" s="147"/>
      <c r="G32" s="147"/>
      <c r="H32" s="147"/>
      <c r="I32" s="147"/>
      <c r="J32" s="147"/>
      <c r="K32" s="147"/>
      <c r="L32" s="147"/>
    </row>
    <row r="33">
      <c r="A33" s="147"/>
      <c r="B33" s="163"/>
      <c r="C33" s="162"/>
      <c r="D33" s="162"/>
      <c r="E33" s="162"/>
      <c r="F33" s="147"/>
      <c r="G33" s="147"/>
      <c r="H33" s="147"/>
      <c r="I33" s="147"/>
      <c r="J33" s="147"/>
      <c r="K33" s="147"/>
      <c r="L33" s="147"/>
    </row>
    <row r="34">
      <c r="A34" s="147"/>
      <c r="B34" s="163"/>
      <c r="C34" s="162"/>
      <c r="D34" s="164"/>
      <c r="E34" s="162"/>
      <c r="F34" s="147"/>
      <c r="G34" s="147"/>
      <c r="H34" s="147"/>
      <c r="I34" s="147"/>
      <c r="J34" s="147"/>
      <c r="K34" s="147"/>
      <c r="L34" s="147"/>
    </row>
    <row r="35">
      <c r="A35" s="147"/>
      <c r="B35" s="163"/>
      <c r="C35" s="162"/>
      <c r="D35" s="162"/>
      <c r="E35" s="162"/>
      <c r="F35" s="147"/>
      <c r="G35" s="147"/>
      <c r="H35" s="147"/>
      <c r="I35" s="147"/>
      <c r="J35" s="147"/>
      <c r="K35" s="147"/>
      <c r="L35" s="147"/>
    </row>
    <row r="36">
      <c r="A36" s="147"/>
      <c r="B36" s="163"/>
      <c r="C36" s="162"/>
      <c r="D36" s="162"/>
      <c r="E36" s="162"/>
      <c r="F36" s="147"/>
      <c r="G36" s="147"/>
      <c r="H36" s="147"/>
      <c r="I36" s="147"/>
      <c r="J36" s="147"/>
      <c r="K36" s="147"/>
      <c r="L36" s="147"/>
    </row>
    <row r="37">
      <c r="A37" s="147"/>
      <c r="B37" s="163"/>
      <c r="C37" s="162"/>
      <c r="D37" s="162"/>
      <c r="E37" s="162"/>
      <c r="F37" s="147"/>
      <c r="G37" s="147"/>
      <c r="H37" s="147"/>
      <c r="I37" s="147"/>
      <c r="J37" s="147"/>
      <c r="K37" s="147"/>
      <c r="L37" s="147"/>
    </row>
    <row r="38">
      <c r="A38" s="147"/>
      <c r="B38" s="163"/>
      <c r="C38" s="162"/>
      <c r="D38" s="162"/>
      <c r="E38" s="162"/>
      <c r="F38" s="147"/>
      <c r="G38" s="147"/>
      <c r="H38" s="147"/>
      <c r="I38" s="147"/>
      <c r="J38" s="147"/>
      <c r="K38" s="147"/>
      <c r="L38" s="147"/>
    </row>
    <row r="39">
      <c r="A39" s="147"/>
      <c r="B39" s="163"/>
      <c r="C39" s="162"/>
      <c r="D39" s="162"/>
      <c r="E39" s="162"/>
      <c r="F39" s="147"/>
      <c r="G39" s="147"/>
      <c r="H39" s="147"/>
      <c r="I39" s="147"/>
      <c r="J39" s="147"/>
      <c r="K39" s="147"/>
      <c r="L39" s="147"/>
    </row>
    <row r="40">
      <c r="A40" s="147"/>
      <c r="B40" s="163"/>
      <c r="C40" s="162"/>
      <c r="D40" s="164"/>
      <c r="E40" s="147"/>
      <c r="F40" s="147"/>
      <c r="G40" s="147"/>
      <c r="H40" s="147"/>
      <c r="I40" s="147"/>
      <c r="J40" s="147"/>
      <c r="K40" s="147"/>
      <c r="L40" s="147"/>
    </row>
    <row r="41">
      <c r="A41" s="147"/>
      <c r="B41" s="163"/>
      <c r="C41" s="162"/>
      <c r="D41" s="164"/>
      <c r="E41" s="147"/>
      <c r="F41" s="147"/>
      <c r="G41" s="147"/>
      <c r="H41" s="147"/>
      <c r="I41" s="147"/>
      <c r="J41" s="147"/>
      <c r="K41" s="147"/>
      <c r="L41" s="147"/>
    </row>
    <row r="42">
      <c r="A42" s="147"/>
      <c r="B42" s="163"/>
      <c r="C42" s="162"/>
      <c r="D42" s="164"/>
      <c r="E42" s="147"/>
      <c r="F42" s="147"/>
      <c r="G42" s="147"/>
      <c r="H42" s="147"/>
      <c r="I42" s="147"/>
      <c r="J42" s="147"/>
      <c r="K42" s="147"/>
      <c r="L42" s="147"/>
    </row>
    <row r="43">
      <c r="A43" s="147"/>
      <c r="B43" s="163"/>
      <c r="C43" s="162"/>
      <c r="D43" s="164"/>
      <c r="E43" s="147"/>
      <c r="F43" s="147"/>
      <c r="G43" s="147"/>
      <c r="H43" s="147"/>
      <c r="I43" s="147"/>
      <c r="J43" s="147"/>
      <c r="K43" s="147"/>
      <c r="L43" s="147"/>
    </row>
    <row r="44">
      <c r="A44" s="147"/>
      <c r="B44" s="163"/>
      <c r="C44" s="162"/>
      <c r="D44" s="164"/>
      <c r="E44" s="147"/>
      <c r="F44" s="147"/>
      <c r="G44" s="147"/>
      <c r="H44" s="147"/>
      <c r="I44" s="147"/>
      <c r="J44" s="147"/>
      <c r="K44" s="147"/>
      <c r="L44" s="147"/>
    </row>
    <row r="45">
      <c r="A45" s="147"/>
      <c r="B45" s="163"/>
      <c r="C45" s="162"/>
      <c r="D45" s="164"/>
      <c r="E45" s="147"/>
      <c r="F45" s="147"/>
      <c r="G45" s="147"/>
      <c r="H45" s="147"/>
      <c r="I45" s="147"/>
      <c r="J45" s="147"/>
      <c r="K45" s="147"/>
      <c r="L45" s="147"/>
    </row>
    <row r="46">
      <c r="A46" s="147"/>
      <c r="B46" s="163"/>
      <c r="C46" s="162"/>
      <c r="D46" s="164"/>
      <c r="E46" s="147"/>
      <c r="F46" s="147"/>
      <c r="G46" s="147"/>
      <c r="H46" s="147"/>
      <c r="I46" s="147"/>
      <c r="J46" s="147"/>
      <c r="K46" s="147"/>
      <c r="L46" s="147"/>
    </row>
    <row r="47">
      <c r="A47" s="147"/>
      <c r="B47" s="163"/>
      <c r="C47" s="162"/>
      <c r="D47" s="164"/>
      <c r="E47" s="147"/>
      <c r="F47" s="147"/>
      <c r="G47" s="147"/>
      <c r="H47" s="147"/>
      <c r="I47" s="147"/>
      <c r="J47" s="147"/>
      <c r="K47" s="147"/>
      <c r="L47" s="147"/>
    </row>
    <row r="48">
      <c r="A48" s="147"/>
      <c r="B48" s="163"/>
      <c r="C48" s="162"/>
      <c r="D48" s="164"/>
      <c r="E48" s="147"/>
      <c r="F48" s="147"/>
      <c r="G48" s="147"/>
      <c r="H48" s="147"/>
      <c r="I48" s="147"/>
      <c r="J48" s="147"/>
      <c r="K48" s="147"/>
      <c r="L48" s="147"/>
    </row>
    <row r="49">
      <c r="A49" s="147"/>
      <c r="B49" s="163"/>
      <c r="C49" s="162"/>
      <c r="D49" s="164"/>
      <c r="E49" s="147"/>
      <c r="F49" s="147"/>
      <c r="G49" s="147"/>
      <c r="H49" s="147"/>
      <c r="I49" s="147"/>
      <c r="J49" s="147"/>
      <c r="K49" s="147"/>
      <c r="L49" s="147"/>
    </row>
    <row r="50">
      <c r="A50" s="147"/>
      <c r="B50" s="163"/>
      <c r="C50" s="162"/>
      <c r="D50" s="164"/>
      <c r="E50" s="147"/>
      <c r="F50" s="147"/>
      <c r="G50" s="147"/>
      <c r="H50" s="147"/>
      <c r="I50" s="147"/>
      <c r="J50" s="147"/>
      <c r="K50" s="147"/>
      <c r="L50" s="147"/>
    </row>
    <row r="51">
      <c r="A51" s="147"/>
      <c r="B51" s="163"/>
      <c r="C51" s="162"/>
      <c r="D51" s="164"/>
      <c r="E51" s="147"/>
      <c r="F51" s="147"/>
      <c r="G51" s="147"/>
      <c r="H51" s="147"/>
      <c r="I51" s="147"/>
      <c r="J51" s="147"/>
      <c r="K51" s="147"/>
      <c r="L51" s="147"/>
    </row>
    <row r="52">
      <c r="A52" s="147"/>
      <c r="B52" s="163"/>
      <c r="C52" s="162"/>
      <c r="D52" s="164"/>
      <c r="E52" s="147"/>
      <c r="F52" s="147"/>
      <c r="G52" s="147"/>
      <c r="H52" s="147"/>
      <c r="I52" s="147"/>
      <c r="J52" s="147"/>
      <c r="K52" s="147"/>
      <c r="L52" s="147"/>
    </row>
    <row r="53">
      <c r="A53" s="147"/>
      <c r="B53" s="165"/>
      <c r="C53" s="147"/>
      <c r="D53" s="147"/>
      <c r="E53" s="147"/>
      <c r="F53" s="147"/>
      <c r="G53" s="147"/>
      <c r="H53" s="147"/>
      <c r="I53" s="147"/>
      <c r="J53" s="147"/>
      <c r="K53" s="147"/>
      <c r="L53" s="147"/>
    </row>
  </sheetData>
  <mergeCells count="2">
    <mergeCell ref="B2:I2"/>
    <mergeCell ref="B23:C23"/>
  </mergeCells>
  <dataValidations>
    <dataValidation type="list" allowBlank="1" showErrorMessage="1" sqref="C16:I16">
      <formula1>"A,B,C,D,E,F,G,H,I"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1" max="11" width="26.86"/>
  </cols>
  <sheetData>
    <row r="1">
      <c r="A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>
      <c r="A2" s="147"/>
      <c r="B2" s="148" t="s">
        <v>375</v>
      </c>
      <c r="C2" s="149"/>
      <c r="D2" s="149"/>
      <c r="E2" s="149"/>
      <c r="F2" s="149"/>
      <c r="G2" s="149"/>
      <c r="H2" s="149"/>
      <c r="I2" s="150"/>
      <c r="J2" s="147"/>
      <c r="K2" s="147"/>
      <c r="L2" s="147"/>
    </row>
    <row r="3">
      <c r="A3" s="147"/>
      <c r="B3" s="151" t="s">
        <v>355</v>
      </c>
      <c r="C3" s="152" t="s">
        <v>356</v>
      </c>
      <c r="D3" s="152" t="s">
        <v>357</v>
      </c>
      <c r="E3" s="152" t="s">
        <v>358</v>
      </c>
      <c r="F3" s="152" t="s">
        <v>359</v>
      </c>
      <c r="G3" s="152" t="s">
        <v>360</v>
      </c>
      <c r="H3" s="152" t="s">
        <v>361</v>
      </c>
      <c r="I3" s="152" t="s">
        <v>363</v>
      </c>
      <c r="J3" s="147"/>
      <c r="K3" s="147"/>
      <c r="L3" s="147"/>
    </row>
    <row r="4">
      <c r="A4" s="147"/>
      <c r="B4" s="151" t="s">
        <v>109</v>
      </c>
      <c r="C4" s="153">
        <v>670.01</v>
      </c>
      <c r="D4" s="153">
        <v>406.94</v>
      </c>
      <c r="E4" s="153">
        <v>359.37</v>
      </c>
      <c r="F4" s="153">
        <v>363.61</v>
      </c>
      <c r="G4" s="153">
        <v>391.92</v>
      </c>
      <c r="H4" s="153">
        <v>132.25</v>
      </c>
      <c r="I4" s="153">
        <v>381.64</v>
      </c>
      <c r="J4" s="147"/>
      <c r="K4" s="147"/>
      <c r="L4" s="147"/>
    </row>
    <row r="5">
      <c r="A5" s="147"/>
      <c r="B5" s="151" t="s">
        <v>138</v>
      </c>
      <c r="C5" s="153">
        <v>431.97</v>
      </c>
      <c r="D5" s="153">
        <v>265.5</v>
      </c>
      <c r="E5" s="153">
        <v>215.4</v>
      </c>
      <c r="F5" s="153">
        <v>191.66</v>
      </c>
      <c r="G5" s="153">
        <v>296.93</v>
      </c>
      <c r="H5" s="153">
        <v>100.55</v>
      </c>
      <c r="I5" s="153">
        <v>276.76</v>
      </c>
      <c r="J5" s="147"/>
      <c r="K5" s="147"/>
      <c r="L5" s="147"/>
    </row>
    <row r="6">
      <c r="A6" s="147"/>
      <c r="B6" s="151" t="s">
        <v>176</v>
      </c>
      <c r="C6" s="153">
        <v>297.36</v>
      </c>
      <c r="D6" s="153">
        <v>219.35</v>
      </c>
      <c r="E6" s="153">
        <v>141.77</v>
      </c>
      <c r="F6" s="153">
        <v>123.87</v>
      </c>
      <c r="G6" s="153">
        <v>220.29</v>
      </c>
      <c r="H6" s="153">
        <v>69.76</v>
      </c>
      <c r="I6" s="153">
        <v>172.22</v>
      </c>
      <c r="J6" s="147"/>
      <c r="K6" s="147"/>
      <c r="L6" s="147"/>
    </row>
    <row r="7">
      <c r="A7" s="147"/>
      <c r="B7" s="151" t="s">
        <v>146</v>
      </c>
      <c r="C7" s="153">
        <v>287.56</v>
      </c>
      <c r="D7" s="153">
        <v>145.26</v>
      </c>
      <c r="E7" s="153">
        <v>125.06</v>
      </c>
      <c r="F7" s="153">
        <v>108.51</v>
      </c>
      <c r="G7" s="153">
        <v>16901.0</v>
      </c>
      <c r="H7" s="153">
        <v>37.22</v>
      </c>
      <c r="I7" s="153">
        <v>109.01</v>
      </c>
      <c r="J7" s="147"/>
      <c r="K7" s="147"/>
      <c r="L7" s="147"/>
    </row>
    <row r="8">
      <c r="A8" s="147"/>
      <c r="B8" s="151" t="s">
        <v>366</v>
      </c>
      <c r="C8" s="153">
        <v>202.44</v>
      </c>
      <c r="D8" s="153">
        <v>51.9</v>
      </c>
      <c r="E8" s="153">
        <v>83.79</v>
      </c>
      <c r="F8" s="153">
        <v>92.84</v>
      </c>
      <c r="G8" s="153">
        <v>116.28</v>
      </c>
      <c r="H8" s="153">
        <v>21.88</v>
      </c>
      <c r="I8" s="153">
        <v>79.24</v>
      </c>
      <c r="J8" s="147"/>
      <c r="K8" s="147"/>
      <c r="L8" s="147"/>
    </row>
    <row r="9">
      <c r="A9" s="147"/>
      <c r="B9" s="151" t="s">
        <v>161</v>
      </c>
      <c r="C9" s="153">
        <v>152.46</v>
      </c>
      <c r="D9" s="153">
        <v>28.54</v>
      </c>
      <c r="E9" s="153">
        <v>57.22</v>
      </c>
      <c r="F9" s="153">
        <v>69.7</v>
      </c>
      <c r="G9" s="153">
        <v>81.97</v>
      </c>
      <c r="H9" s="153">
        <v>16.3</v>
      </c>
      <c r="I9" s="153">
        <v>43.58</v>
      </c>
      <c r="J9" s="147"/>
      <c r="K9" s="147"/>
      <c r="L9" s="147"/>
    </row>
    <row r="10">
      <c r="A10" s="147"/>
      <c r="B10" s="151" t="s">
        <v>179</v>
      </c>
      <c r="C10" s="153">
        <v>89.83</v>
      </c>
      <c r="D10" s="153">
        <v>19.62</v>
      </c>
      <c r="E10" s="153">
        <v>50.5</v>
      </c>
      <c r="F10" s="153">
        <v>67.65</v>
      </c>
      <c r="G10" s="153">
        <v>67.21</v>
      </c>
      <c r="H10" s="153">
        <v>11.2</v>
      </c>
      <c r="I10" s="153">
        <v>23.55</v>
      </c>
      <c r="J10" s="147"/>
      <c r="K10" s="147"/>
      <c r="L10" s="147"/>
    </row>
    <row r="11">
      <c r="A11" s="147"/>
      <c r="B11" s="151" t="s">
        <v>367</v>
      </c>
      <c r="C11" s="153">
        <v>0.0</v>
      </c>
      <c r="D11" s="153">
        <v>0.0</v>
      </c>
      <c r="E11" s="153">
        <v>31.6</v>
      </c>
      <c r="F11" s="153">
        <v>18.83</v>
      </c>
      <c r="G11" s="153">
        <v>26.88</v>
      </c>
      <c r="H11" s="153">
        <v>0.0</v>
      </c>
      <c r="I11" s="153">
        <v>0.0</v>
      </c>
      <c r="J11" s="147"/>
      <c r="K11" s="147"/>
      <c r="L11" s="147"/>
    </row>
    <row r="12">
      <c r="A12" s="147"/>
      <c r="B12" s="151" t="s">
        <v>368</v>
      </c>
      <c r="C12" s="153">
        <v>0.0</v>
      </c>
      <c r="D12" s="153">
        <v>0.0</v>
      </c>
      <c r="E12" s="153">
        <v>6.32</v>
      </c>
      <c r="F12" s="153">
        <v>0.0</v>
      </c>
      <c r="G12" s="153">
        <v>0.0</v>
      </c>
      <c r="H12" s="153">
        <v>0.0</v>
      </c>
      <c r="I12" s="153">
        <v>0.0</v>
      </c>
      <c r="J12" s="147"/>
      <c r="K12" s="147"/>
      <c r="L12" s="147"/>
    </row>
    <row r="13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</row>
    <row r="14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>
      <c r="A15" s="147"/>
      <c r="B15" s="154"/>
      <c r="C15" s="152" t="s">
        <v>356</v>
      </c>
      <c r="D15" s="152" t="s">
        <v>357</v>
      </c>
      <c r="E15" s="152" t="s">
        <v>358</v>
      </c>
      <c r="F15" s="152" t="s">
        <v>359</v>
      </c>
      <c r="G15" s="152" t="s">
        <v>360</v>
      </c>
      <c r="H15" s="152" t="s">
        <v>361</v>
      </c>
      <c r="I15" s="152" t="s">
        <v>369</v>
      </c>
      <c r="J15" s="147"/>
      <c r="K15" s="147"/>
      <c r="L15" s="147"/>
    </row>
    <row r="16">
      <c r="A16" s="147"/>
      <c r="B16" s="151" t="s">
        <v>355</v>
      </c>
      <c r="C16" s="155" t="s">
        <v>146</v>
      </c>
      <c r="D16" s="155" t="s">
        <v>109</v>
      </c>
      <c r="E16" s="155" t="s">
        <v>109</v>
      </c>
      <c r="F16" s="155" t="s">
        <v>109</v>
      </c>
      <c r="G16" s="155" t="s">
        <v>109</v>
      </c>
      <c r="H16" s="155" t="s">
        <v>109</v>
      </c>
      <c r="I16" s="155" t="s">
        <v>109</v>
      </c>
      <c r="J16" s="147"/>
      <c r="K16" s="147"/>
      <c r="L16" s="147"/>
    </row>
    <row r="17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</row>
    <row r="18">
      <c r="A18" s="147"/>
      <c r="B18" s="147"/>
      <c r="C18" s="156">
        <f>VLOOKUP(C16,$B$4:$I$12,2,FALSE)</f>
        <v>287.56</v>
      </c>
      <c r="D18" s="156">
        <f>VLOOKUP(D16,$B$4:$I$12,3,FALSE)</f>
        <v>406.94</v>
      </c>
      <c r="E18" s="156">
        <f>VLOOKUP(E16,$B$4:$I$12,4,FALSE)</f>
        <v>359.37</v>
      </c>
      <c r="F18" s="156">
        <f>VLOOKUP(F16,$B$4:$I$12,5,FALSE)</f>
        <v>363.61</v>
      </c>
      <c r="G18" s="156">
        <f>VLOOKUP(G16,$B$4:$I$12,6,FALSE)</f>
        <v>391.92</v>
      </c>
      <c r="H18" s="156">
        <f>VLOOKUP(H16,$B$4:$I$12,7,FALSE)</f>
        <v>132.25</v>
      </c>
      <c r="I18" s="156">
        <f>VLOOKUP(I16,$B$4:$I$12,8,FALSE)</f>
        <v>381.64</v>
      </c>
      <c r="J18" s="147"/>
      <c r="K18" s="157" t="s">
        <v>370</v>
      </c>
      <c r="L18" s="158">
        <f>L19-H18</f>
        <v>2191.04</v>
      </c>
    </row>
    <row r="19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57" t="s">
        <v>371</v>
      </c>
      <c r="L19" s="158">
        <f>SUM(C18:I18)</f>
        <v>2323.29</v>
      </c>
    </row>
    <row r="20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57" t="s">
        <v>372</v>
      </c>
      <c r="L20" s="159">
        <f>E18</f>
        <v>359.37</v>
      </c>
    </row>
    <row r="21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57" t="s">
        <v>373</v>
      </c>
      <c r="L21" s="159">
        <f>C18+D18+E18+G18+I18</f>
        <v>1827.43</v>
      </c>
    </row>
    <row r="2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57" t="s">
        <v>374</v>
      </c>
      <c r="L22" s="159">
        <f>C18+E18+F18+G18+I18</f>
        <v>1784.1</v>
      </c>
    </row>
    <row r="23">
      <c r="A23" s="147"/>
      <c r="B23" s="160"/>
      <c r="D23" s="147"/>
      <c r="E23" s="147"/>
      <c r="F23" s="147"/>
      <c r="G23" s="147"/>
      <c r="H23" s="147"/>
      <c r="I23" s="147"/>
      <c r="J23" s="147"/>
      <c r="K23" s="147"/>
      <c r="L23" s="147"/>
    </row>
    <row r="24">
      <c r="A24" s="147"/>
      <c r="B24" s="160"/>
      <c r="C24" s="160"/>
      <c r="D24" s="147"/>
      <c r="E24" s="147"/>
      <c r="F24" s="147"/>
      <c r="G24" s="147"/>
      <c r="H24" s="147"/>
      <c r="I24" s="147"/>
      <c r="J24" s="147"/>
      <c r="K24" s="147"/>
      <c r="L24" s="147"/>
    </row>
    <row r="25">
      <c r="A25" s="147"/>
      <c r="B25" s="162"/>
      <c r="C25" s="162"/>
      <c r="D25" s="147"/>
      <c r="E25" s="147"/>
      <c r="F25" s="147"/>
      <c r="G25" s="147"/>
      <c r="H25" s="147"/>
      <c r="I25" s="147"/>
      <c r="J25" s="147"/>
      <c r="K25" s="147"/>
      <c r="L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</row>
    <row r="27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</row>
    <row r="28">
      <c r="A28" s="147"/>
      <c r="B28" s="160"/>
      <c r="C28" s="160"/>
      <c r="D28" s="160"/>
      <c r="E28" s="160"/>
      <c r="F28" s="147"/>
      <c r="G28" s="147"/>
      <c r="H28" s="147"/>
      <c r="I28" s="147"/>
      <c r="J28" s="147"/>
      <c r="K28" s="147"/>
      <c r="L28" s="147"/>
    </row>
    <row r="29">
      <c r="A29" s="147"/>
      <c r="B29" s="163"/>
      <c r="C29" s="162"/>
      <c r="D29" s="162"/>
      <c r="E29" s="162"/>
      <c r="F29" s="147"/>
      <c r="G29" s="147"/>
      <c r="H29" s="147"/>
      <c r="I29" s="147"/>
      <c r="J29" s="147"/>
      <c r="K29" s="147"/>
      <c r="L29" s="147"/>
    </row>
    <row r="30">
      <c r="A30" s="147"/>
      <c r="B30" s="163"/>
      <c r="C30" s="162"/>
      <c r="D30" s="162"/>
      <c r="E30" s="162"/>
      <c r="F30" s="147"/>
      <c r="G30" s="147"/>
      <c r="H30" s="147"/>
      <c r="I30" s="147"/>
      <c r="J30" s="147"/>
      <c r="K30" s="147"/>
      <c r="L30" s="147"/>
    </row>
    <row r="31">
      <c r="A31" s="147"/>
      <c r="B31" s="163"/>
      <c r="C31" s="162"/>
      <c r="D31" s="162"/>
      <c r="E31" s="162"/>
      <c r="F31" s="147"/>
      <c r="G31" s="147"/>
      <c r="H31" s="147"/>
      <c r="I31" s="147"/>
      <c r="J31" s="147"/>
      <c r="K31" s="147"/>
      <c r="L31" s="147"/>
    </row>
    <row r="32">
      <c r="A32" s="147"/>
      <c r="B32" s="163"/>
      <c r="C32" s="162"/>
      <c r="D32" s="162"/>
      <c r="E32" s="162"/>
      <c r="F32" s="147"/>
      <c r="G32" s="147"/>
      <c r="H32" s="147"/>
      <c r="I32" s="147"/>
      <c r="J32" s="147"/>
      <c r="K32" s="147"/>
      <c r="L32" s="147"/>
    </row>
    <row r="33">
      <c r="A33" s="147"/>
      <c r="B33" s="163"/>
      <c r="C33" s="162"/>
      <c r="D33" s="162"/>
      <c r="E33" s="162"/>
      <c r="F33" s="147"/>
      <c r="G33" s="147"/>
      <c r="H33" s="147"/>
      <c r="I33" s="147"/>
      <c r="J33" s="147"/>
      <c r="K33" s="147"/>
      <c r="L33" s="147"/>
    </row>
    <row r="34">
      <c r="A34" s="147"/>
      <c r="B34" s="163"/>
      <c r="C34" s="162"/>
      <c r="D34" s="164"/>
      <c r="E34" s="162"/>
      <c r="F34" s="147"/>
      <c r="G34" s="147"/>
      <c r="H34" s="147"/>
      <c r="I34" s="147"/>
      <c r="J34" s="147"/>
      <c r="K34" s="147"/>
      <c r="L34" s="147"/>
    </row>
    <row r="35">
      <c r="A35" s="147"/>
      <c r="B35" s="163"/>
      <c r="C35" s="162"/>
      <c r="D35" s="162"/>
      <c r="E35" s="162"/>
      <c r="F35" s="147"/>
      <c r="G35" s="147"/>
      <c r="H35" s="147"/>
      <c r="I35" s="147"/>
      <c r="J35" s="147"/>
      <c r="K35" s="147"/>
      <c r="L35" s="147"/>
    </row>
    <row r="36">
      <c r="A36" s="147"/>
      <c r="B36" s="163"/>
      <c r="C36" s="162"/>
      <c r="D36" s="162"/>
      <c r="E36" s="162"/>
      <c r="F36" s="147"/>
      <c r="G36" s="147"/>
      <c r="H36" s="147"/>
      <c r="I36" s="147"/>
      <c r="J36" s="147"/>
      <c r="K36" s="147"/>
      <c r="L36" s="147"/>
    </row>
    <row r="37">
      <c r="A37" s="147"/>
      <c r="B37" s="163"/>
      <c r="C37" s="162"/>
      <c r="D37" s="162"/>
      <c r="E37" s="162"/>
      <c r="F37" s="147"/>
      <c r="G37" s="147"/>
      <c r="H37" s="147"/>
      <c r="I37" s="147"/>
      <c r="J37" s="147"/>
      <c r="K37" s="147"/>
      <c r="L37" s="147"/>
    </row>
    <row r="38">
      <c r="A38" s="147"/>
      <c r="B38" s="163"/>
      <c r="C38" s="162"/>
      <c r="D38" s="162"/>
      <c r="E38" s="162"/>
      <c r="F38" s="147"/>
      <c r="G38" s="147"/>
      <c r="H38" s="147"/>
      <c r="I38" s="147"/>
      <c r="J38" s="147"/>
      <c r="K38" s="147"/>
      <c r="L38" s="147"/>
    </row>
    <row r="39">
      <c r="A39" s="147"/>
      <c r="B39" s="163"/>
      <c r="C39" s="162"/>
      <c r="D39" s="162"/>
      <c r="E39" s="162"/>
      <c r="F39" s="147"/>
      <c r="G39" s="147"/>
      <c r="H39" s="147"/>
      <c r="I39" s="147"/>
      <c r="J39" s="147"/>
      <c r="K39" s="147"/>
      <c r="L39" s="147"/>
    </row>
    <row r="40">
      <c r="A40" s="147"/>
      <c r="B40" s="163"/>
      <c r="C40" s="162"/>
      <c r="D40" s="164"/>
      <c r="E40" s="147"/>
      <c r="F40" s="147"/>
      <c r="G40" s="147"/>
      <c r="H40" s="147"/>
      <c r="I40" s="147"/>
      <c r="J40" s="147"/>
      <c r="K40" s="147"/>
      <c r="L40" s="147"/>
    </row>
    <row r="41">
      <c r="A41" s="147"/>
      <c r="B41" s="163"/>
      <c r="C41" s="162"/>
      <c r="D41" s="164"/>
      <c r="E41" s="147"/>
      <c r="F41" s="147"/>
      <c r="G41" s="147"/>
      <c r="H41" s="147"/>
      <c r="I41" s="147"/>
      <c r="J41" s="147"/>
      <c r="K41" s="147"/>
      <c r="L41" s="147"/>
    </row>
    <row r="42">
      <c r="A42" s="147"/>
      <c r="B42" s="163"/>
      <c r="C42" s="162"/>
      <c r="D42" s="164"/>
      <c r="E42" s="147"/>
      <c r="F42" s="147"/>
      <c r="G42" s="147"/>
      <c r="H42" s="147"/>
      <c r="I42" s="147"/>
      <c r="J42" s="147"/>
      <c r="K42" s="147"/>
      <c r="L42" s="147"/>
    </row>
    <row r="43">
      <c r="A43" s="147"/>
      <c r="B43" s="163"/>
      <c r="C43" s="162"/>
      <c r="D43" s="164"/>
      <c r="E43" s="147"/>
      <c r="F43" s="147"/>
      <c r="G43" s="147"/>
      <c r="H43" s="147"/>
      <c r="I43" s="147"/>
      <c r="J43" s="147"/>
      <c r="K43" s="147"/>
      <c r="L43" s="147"/>
    </row>
    <row r="44">
      <c r="A44" s="147"/>
      <c r="B44" s="163"/>
      <c r="C44" s="162"/>
      <c r="D44" s="164"/>
      <c r="E44" s="147"/>
      <c r="F44" s="147"/>
      <c r="G44" s="147"/>
      <c r="H44" s="147"/>
      <c r="I44" s="147"/>
      <c r="J44" s="147"/>
      <c r="K44" s="147"/>
      <c r="L44" s="147"/>
    </row>
    <row r="45">
      <c r="A45" s="147"/>
      <c r="B45" s="163"/>
      <c r="C45" s="162"/>
      <c r="D45" s="164"/>
      <c r="E45" s="147"/>
      <c r="F45" s="147"/>
      <c r="G45" s="147"/>
      <c r="H45" s="147"/>
      <c r="I45" s="147"/>
      <c r="J45" s="147"/>
      <c r="K45" s="147"/>
      <c r="L45" s="147"/>
    </row>
    <row r="46">
      <c r="A46" s="147"/>
      <c r="B46" s="163"/>
      <c r="C46" s="162"/>
      <c r="D46" s="164"/>
      <c r="E46" s="147"/>
      <c r="F46" s="147"/>
      <c r="G46" s="147"/>
      <c r="H46" s="147"/>
      <c r="I46" s="147"/>
      <c r="J46" s="147"/>
      <c r="K46" s="147"/>
      <c r="L46" s="147"/>
    </row>
    <row r="47">
      <c r="A47" s="147"/>
      <c r="B47" s="163"/>
      <c r="C47" s="162"/>
      <c r="D47" s="164"/>
      <c r="E47" s="147"/>
      <c r="F47" s="147"/>
      <c r="G47" s="147"/>
      <c r="H47" s="147"/>
      <c r="I47" s="147"/>
      <c r="J47" s="147"/>
      <c r="K47" s="147"/>
      <c r="L47" s="147"/>
    </row>
    <row r="48">
      <c r="A48" s="147"/>
      <c r="B48" s="163"/>
      <c r="C48" s="162"/>
      <c r="D48" s="164"/>
      <c r="E48" s="147"/>
      <c r="F48" s="147"/>
      <c r="G48" s="147"/>
      <c r="H48" s="147"/>
      <c r="I48" s="147"/>
      <c r="J48" s="147"/>
      <c r="K48" s="147"/>
      <c r="L48" s="147"/>
    </row>
    <row r="49">
      <c r="A49" s="147"/>
      <c r="B49" s="163"/>
      <c r="C49" s="162"/>
      <c r="D49" s="164"/>
      <c r="E49" s="147"/>
      <c r="F49" s="147"/>
      <c r="G49" s="147"/>
      <c r="H49" s="147"/>
      <c r="I49" s="147"/>
      <c r="J49" s="147"/>
      <c r="K49" s="147"/>
      <c r="L49" s="147"/>
    </row>
    <row r="50">
      <c r="A50" s="147"/>
      <c r="B50" s="163"/>
      <c r="C50" s="162"/>
      <c r="D50" s="164"/>
      <c r="E50" s="147"/>
      <c r="F50" s="147"/>
      <c r="G50" s="147"/>
      <c r="H50" s="147"/>
      <c r="I50" s="147"/>
      <c r="J50" s="147"/>
      <c r="K50" s="147"/>
      <c r="L50" s="147"/>
    </row>
    <row r="51">
      <c r="A51" s="147"/>
      <c r="B51" s="163"/>
      <c r="C51" s="162"/>
      <c r="D51" s="164"/>
      <c r="E51" s="147"/>
      <c r="F51" s="147"/>
      <c r="G51" s="147"/>
      <c r="H51" s="147"/>
      <c r="I51" s="147"/>
      <c r="J51" s="147"/>
      <c r="K51" s="147"/>
      <c r="L51" s="147"/>
    </row>
    <row r="52">
      <c r="A52" s="147"/>
      <c r="B52" s="163"/>
      <c r="C52" s="162"/>
      <c r="D52" s="164"/>
      <c r="E52" s="147"/>
      <c r="F52" s="147"/>
      <c r="G52" s="147"/>
      <c r="H52" s="147"/>
      <c r="I52" s="147"/>
      <c r="J52" s="147"/>
      <c r="K52" s="147"/>
      <c r="L52" s="147"/>
    </row>
    <row r="53">
      <c r="A53" s="147"/>
      <c r="B53" s="165"/>
      <c r="C53" s="147"/>
      <c r="D53" s="147"/>
      <c r="E53" s="147"/>
      <c r="F53" s="147"/>
      <c r="G53" s="147"/>
      <c r="H53" s="147"/>
      <c r="I53" s="147"/>
      <c r="J53" s="147"/>
      <c r="K53" s="147"/>
      <c r="L53" s="147"/>
    </row>
  </sheetData>
  <mergeCells count="2">
    <mergeCell ref="B2:I2"/>
    <mergeCell ref="B23:C23"/>
  </mergeCells>
  <dataValidations>
    <dataValidation type="list" allowBlank="1" showErrorMessage="1" sqref="C16:I16">
      <formula1>"A,B,C,D,E,F,G,H,I"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1" max="11" width="26.86"/>
  </cols>
  <sheetData>
    <row r="1">
      <c r="A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>
      <c r="A2" s="147"/>
      <c r="B2" s="148" t="s">
        <v>376</v>
      </c>
      <c r="C2" s="149"/>
      <c r="D2" s="149"/>
      <c r="E2" s="149"/>
      <c r="F2" s="149"/>
      <c r="G2" s="149"/>
      <c r="H2" s="149"/>
      <c r="I2" s="150"/>
      <c r="J2" s="147"/>
      <c r="K2" s="147"/>
      <c r="L2" s="147"/>
    </row>
    <row r="3">
      <c r="A3" s="147"/>
      <c r="B3" s="151" t="s">
        <v>355</v>
      </c>
      <c r="C3" s="152" t="s">
        <v>356</v>
      </c>
      <c r="D3" s="152" t="s">
        <v>357</v>
      </c>
      <c r="E3" s="152" t="s">
        <v>358</v>
      </c>
      <c r="F3" s="152" t="s">
        <v>359</v>
      </c>
      <c r="G3" s="152" t="s">
        <v>360</v>
      </c>
      <c r="H3" s="152" t="s">
        <v>361</v>
      </c>
      <c r="I3" s="152" t="s">
        <v>363</v>
      </c>
      <c r="J3" s="147"/>
      <c r="K3" s="147"/>
      <c r="L3" s="147"/>
    </row>
    <row r="4">
      <c r="A4" s="147"/>
      <c r="B4" s="151" t="s">
        <v>109</v>
      </c>
      <c r="C4" s="153">
        <v>781.77</v>
      </c>
      <c r="D4" s="153">
        <v>400.37</v>
      </c>
      <c r="E4" s="153">
        <v>488.02</v>
      </c>
      <c r="F4" s="153">
        <v>331.18</v>
      </c>
      <c r="G4" s="153">
        <v>392.69</v>
      </c>
      <c r="H4" s="153">
        <v>143.29</v>
      </c>
      <c r="I4" s="153">
        <v>484.34</v>
      </c>
      <c r="J4" s="147"/>
      <c r="K4" s="147"/>
      <c r="L4" s="147"/>
    </row>
    <row r="5">
      <c r="A5" s="147"/>
      <c r="B5" s="151" t="s">
        <v>138</v>
      </c>
      <c r="C5" s="153">
        <v>533.39</v>
      </c>
      <c r="D5" s="153">
        <v>282.82</v>
      </c>
      <c r="E5" s="153">
        <v>233.89</v>
      </c>
      <c r="F5" s="153">
        <v>262.69</v>
      </c>
      <c r="G5" s="153">
        <v>270.67</v>
      </c>
      <c r="H5" s="153">
        <v>101.82</v>
      </c>
      <c r="I5" s="153">
        <v>290.15</v>
      </c>
      <c r="J5" s="147"/>
      <c r="K5" s="147"/>
      <c r="L5" s="147"/>
    </row>
    <row r="6">
      <c r="A6" s="147"/>
      <c r="B6" s="151" t="s">
        <v>176</v>
      </c>
      <c r="C6" s="153">
        <v>393.99</v>
      </c>
      <c r="D6" s="153">
        <v>213.38</v>
      </c>
      <c r="E6" s="153">
        <v>153.48</v>
      </c>
      <c r="F6" s="153">
        <v>200.14</v>
      </c>
      <c r="G6" s="153">
        <v>230.89</v>
      </c>
      <c r="H6" s="153">
        <v>71.84</v>
      </c>
      <c r="I6" s="153">
        <v>211.54</v>
      </c>
      <c r="J6" s="147"/>
      <c r="K6" s="147"/>
      <c r="L6" s="147"/>
    </row>
    <row r="7">
      <c r="A7" s="147"/>
      <c r="B7" s="151" t="s">
        <v>146</v>
      </c>
      <c r="C7" s="153">
        <v>304.63</v>
      </c>
      <c r="D7" s="153">
        <v>186.03</v>
      </c>
      <c r="E7" s="153">
        <v>130.12</v>
      </c>
      <c r="F7" s="153">
        <v>134.15</v>
      </c>
      <c r="G7" s="153">
        <v>166.85</v>
      </c>
      <c r="H7" s="153">
        <v>48.71</v>
      </c>
      <c r="I7" s="153">
        <v>117.63</v>
      </c>
      <c r="J7" s="147"/>
      <c r="K7" s="147"/>
      <c r="L7" s="147"/>
    </row>
    <row r="8">
      <c r="A8" s="147"/>
      <c r="B8" s="151" t="s">
        <v>366</v>
      </c>
      <c r="C8" s="153">
        <v>241.88</v>
      </c>
      <c r="D8" s="153">
        <v>135.45</v>
      </c>
      <c r="E8" s="153">
        <v>104.98</v>
      </c>
      <c r="F8" s="153">
        <v>87.11</v>
      </c>
      <c r="G8" s="153">
        <v>126.51</v>
      </c>
      <c r="H8" s="153">
        <v>24.18</v>
      </c>
      <c r="I8" s="153">
        <v>79.54</v>
      </c>
      <c r="J8" s="147"/>
      <c r="K8" s="147"/>
      <c r="L8" s="147"/>
    </row>
    <row r="9">
      <c r="A9" s="147"/>
      <c r="B9" s="151" t="s">
        <v>161</v>
      </c>
      <c r="C9" s="153">
        <v>190.74</v>
      </c>
      <c r="D9" s="153">
        <v>62.28</v>
      </c>
      <c r="E9" s="153">
        <v>85.49</v>
      </c>
      <c r="F9" s="153">
        <v>71.05</v>
      </c>
      <c r="G9" s="153">
        <v>97.81</v>
      </c>
      <c r="H9" s="153">
        <v>20.55</v>
      </c>
      <c r="I9" s="153">
        <v>43.92</v>
      </c>
      <c r="J9" s="147"/>
      <c r="K9" s="147"/>
      <c r="L9" s="147"/>
    </row>
    <row r="10">
      <c r="A10" s="147"/>
      <c r="B10" s="151" t="s">
        <v>179</v>
      </c>
      <c r="C10" s="153">
        <v>165.21</v>
      </c>
      <c r="D10" s="153">
        <v>49.0</v>
      </c>
      <c r="E10" s="153">
        <v>70.68</v>
      </c>
      <c r="F10" s="153">
        <v>41.92</v>
      </c>
      <c r="G10" s="153">
        <v>81.74</v>
      </c>
      <c r="H10" s="153">
        <v>14.15</v>
      </c>
      <c r="I10" s="153">
        <v>25.92</v>
      </c>
      <c r="J10" s="147"/>
      <c r="K10" s="147"/>
      <c r="L10" s="147"/>
    </row>
    <row r="11">
      <c r="A11" s="147"/>
      <c r="B11" s="151" t="s">
        <v>367</v>
      </c>
      <c r="C11" s="153">
        <v>82.61</v>
      </c>
      <c r="D11" s="153">
        <v>0.0</v>
      </c>
      <c r="E11" s="153">
        <v>27.2</v>
      </c>
      <c r="F11" s="153">
        <v>20.96</v>
      </c>
      <c r="G11" s="153">
        <v>32.7</v>
      </c>
      <c r="H11" s="153">
        <v>0.0</v>
      </c>
      <c r="I11" s="153">
        <v>0.0</v>
      </c>
      <c r="J11" s="147"/>
      <c r="K11" s="147"/>
      <c r="L11" s="147"/>
    </row>
    <row r="12">
      <c r="A12" s="147"/>
      <c r="B12" s="151" t="s">
        <v>368</v>
      </c>
      <c r="C12" s="153">
        <v>33.05</v>
      </c>
      <c r="D12" s="153">
        <v>0.0</v>
      </c>
      <c r="E12" s="153">
        <v>5.98</v>
      </c>
      <c r="F12" s="153">
        <v>0.0</v>
      </c>
      <c r="G12" s="153">
        <v>0.0</v>
      </c>
      <c r="H12" s="153">
        <v>0.0</v>
      </c>
      <c r="I12" s="153">
        <v>0.0</v>
      </c>
      <c r="J12" s="147"/>
      <c r="K12" s="147"/>
      <c r="L12" s="147"/>
    </row>
    <row r="13">
      <c r="A13" s="147"/>
      <c r="B13" s="151" t="s">
        <v>368</v>
      </c>
      <c r="C13" s="153">
        <v>13.22</v>
      </c>
      <c r="D13" s="153">
        <v>0.0</v>
      </c>
      <c r="E13" s="153"/>
      <c r="F13" s="153">
        <v>0.0</v>
      </c>
      <c r="G13" s="153">
        <v>0.0</v>
      </c>
      <c r="H13" s="153">
        <v>0.0</v>
      </c>
      <c r="I13" s="153">
        <v>0.0</v>
      </c>
      <c r="J13" s="147"/>
      <c r="K13" s="147"/>
      <c r="L13" s="147"/>
    </row>
    <row r="14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>
      <c r="A15" s="147"/>
      <c r="B15" s="154"/>
      <c r="C15" s="152" t="s">
        <v>356</v>
      </c>
      <c r="D15" s="152" t="s">
        <v>357</v>
      </c>
      <c r="E15" s="152" t="s">
        <v>358</v>
      </c>
      <c r="F15" s="152" t="s">
        <v>359</v>
      </c>
      <c r="G15" s="152" t="s">
        <v>360</v>
      </c>
      <c r="H15" s="152" t="s">
        <v>361</v>
      </c>
      <c r="I15" s="152" t="s">
        <v>369</v>
      </c>
      <c r="J15" s="147"/>
      <c r="K15" s="147"/>
      <c r="L15" s="147"/>
    </row>
    <row r="16">
      <c r="A16" s="147"/>
      <c r="B16" s="151" t="s">
        <v>355</v>
      </c>
      <c r="C16" s="155" t="s">
        <v>138</v>
      </c>
      <c r="D16" s="155" t="s">
        <v>109</v>
      </c>
      <c r="E16" s="155" t="s">
        <v>109</v>
      </c>
      <c r="F16" s="155" t="s">
        <v>109</v>
      </c>
      <c r="G16" s="155" t="s">
        <v>109</v>
      </c>
      <c r="H16" s="155" t="s">
        <v>109</v>
      </c>
      <c r="I16" s="155" t="s">
        <v>109</v>
      </c>
      <c r="J16" s="147"/>
      <c r="K16" s="147"/>
      <c r="L16" s="147"/>
    </row>
    <row r="17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</row>
    <row r="18">
      <c r="A18" s="147"/>
      <c r="B18" s="147"/>
      <c r="C18" s="156">
        <f>VLOOKUP(C16,$B$4:$I$12,2,FALSE)</f>
        <v>533.39</v>
      </c>
      <c r="D18" s="156">
        <f>VLOOKUP(D16,$B$4:$I$12,3,FALSE)</f>
        <v>400.37</v>
      </c>
      <c r="E18" s="156">
        <f>VLOOKUP(E16,$B$4:$I$12,4,FALSE)</f>
        <v>488.02</v>
      </c>
      <c r="F18" s="156">
        <f>VLOOKUP(F16,$B$4:$I$12,5,FALSE)</f>
        <v>331.18</v>
      </c>
      <c r="G18" s="156">
        <f>VLOOKUP(G16,$B$4:$I$12,6,FALSE)</f>
        <v>392.69</v>
      </c>
      <c r="H18" s="156">
        <f>VLOOKUP(H16,$B$4:$I$12,7,FALSE)</f>
        <v>143.29</v>
      </c>
      <c r="I18" s="156">
        <f>VLOOKUP(I16,$B$4:$I$12,8,FALSE)</f>
        <v>484.34</v>
      </c>
      <c r="J18" s="147"/>
      <c r="K18" s="157" t="s">
        <v>370</v>
      </c>
      <c r="L18" s="158">
        <f>L19-H18</f>
        <v>2629.99</v>
      </c>
    </row>
    <row r="19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57" t="s">
        <v>371</v>
      </c>
      <c r="L19" s="158">
        <f>SUM(C18:I18)</f>
        <v>2773.28</v>
      </c>
    </row>
    <row r="20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57" t="s">
        <v>372</v>
      </c>
      <c r="L20" s="159">
        <f>E18</f>
        <v>488.02</v>
      </c>
    </row>
    <row r="21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57" t="s">
        <v>373</v>
      </c>
      <c r="L21" s="159">
        <f>C18+D18+E18+G18+I18</f>
        <v>2298.81</v>
      </c>
    </row>
    <row r="2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57" t="s">
        <v>374</v>
      </c>
      <c r="L22" s="159">
        <f>C18+E18+F18+G18+I18</f>
        <v>2229.62</v>
      </c>
    </row>
    <row r="23">
      <c r="A23" s="147"/>
      <c r="B23" s="160"/>
      <c r="D23" s="147"/>
      <c r="E23" s="147"/>
      <c r="F23" s="147"/>
      <c r="G23" s="147"/>
      <c r="H23" s="147"/>
      <c r="I23" s="147"/>
      <c r="J23" s="147"/>
      <c r="K23" s="147"/>
      <c r="L23" s="147"/>
    </row>
    <row r="24">
      <c r="A24" s="147"/>
      <c r="B24" s="160"/>
      <c r="C24" s="160"/>
      <c r="D24" s="147"/>
      <c r="E24" s="147"/>
      <c r="F24" s="147"/>
      <c r="G24" s="147"/>
      <c r="H24" s="147"/>
      <c r="I24" s="147"/>
      <c r="J24" s="147"/>
      <c r="K24" s="147"/>
      <c r="L24" s="147"/>
    </row>
    <row r="25">
      <c r="A25" s="147"/>
      <c r="B25" s="162"/>
      <c r="C25" s="162"/>
      <c r="D25" s="147"/>
      <c r="E25" s="147"/>
      <c r="F25" s="147"/>
      <c r="G25" s="147"/>
      <c r="H25" s="147"/>
      <c r="I25" s="147"/>
      <c r="J25" s="147"/>
      <c r="K25" s="147"/>
      <c r="L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</row>
    <row r="27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</row>
    <row r="28">
      <c r="A28" s="147"/>
      <c r="B28" s="160"/>
      <c r="C28" s="160"/>
      <c r="D28" s="160"/>
      <c r="E28" s="160"/>
      <c r="F28" s="147"/>
      <c r="G28" s="147"/>
      <c r="H28" s="147"/>
      <c r="I28" s="147"/>
      <c r="J28" s="147"/>
      <c r="K28" s="147"/>
      <c r="L28" s="147"/>
    </row>
    <row r="29">
      <c r="A29" s="147"/>
      <c r="B29" s="163"/>
      <c r="C29" s="162"/>
      <c r="D29" s="162"/>
      <c r="E29" s="162"/>
      <c r="F29" s="147"/>
      <c r="G29" s="147"/>
      <c r="H29" s="147"/>
      <c r="I29" s="147"/>
      <c r="J29" s="147"/>
      <c r="K29" s="147"/>
      <c r="L29" s="147"/>
    </row>
    <row r="30">
      <c r="A30" s="147"/>
      <c r="B30" s="163"/>
      <c r="C30" s="162"/>
      <c r="D30" s="162"/>
      <c r="E30" s="162"/>
      <c r="F30" s="147"/>
      <c r="G30" s="147"/>
      <c r="H30" s="147"/>
      <c r="I30" s="147"/>
      <c r="J30" s="147"/>
      <c r="K30" s="147"/>
      <c r="L30" s="147"/>
    </row>
    <row r="31">
      <c r="A31" s="147"/>
      <c r="B31" s="163"/>
      <c r="C31" s="162"/>
      <c r="D31" s="162"/>
      <c r="E31" s="162"/>
      <c r="F31" s="147"/>
      <c r="G31" s="147"/>
      <c r="H31" s="147"/>
      <c r="I31" s="147"/>
      <c r="J31" s="147"/>
      <c r="K31" s="147"/>
      <c r="L31" s="147"/>
    </row>
    <row r="32">
      <c r="A32" s="147"/>
      <c r="B32" s="163"/>
      <c r="C32" s="162"/>
      <c r="D32" s="162"/>
      <c r="E32" s="162"/>
      <c r="F32" s="147"/>
      <c r="G32" s="147"/>
      <c r="H32" s="147"/>
      <c r="I32" s="147"/>
      <c r="J32" s="147"/>
      <c r="K32" s="147"/>
      <c r="L32" s="147"/>
    </row>
    <row r="33">
      <c r="A33" s="147"/>
      <c r="B33" s="163"/>
      <c r="C33" s="162"/>
      <c r="D33" s="162"/>
      <c r="E33" s="162"/>
      <c r="F33" s="147"/>
      <c r="G33" s="147"/>
      <c r="H33" s="147"/>
      <c r="I33" s="147"/>
      <c r="J33" s="147"/>
      <c r="K33" s="147"/>
      <c r="L33" s="147"/>
    </row>
    <row r="34">
      <c r="A34" s="147"/>
      <c r="B34" s="163"/>
      <c r="C34" s="162"/>
      <c r="D34" s="164"/>
      <c r="E34" s="162"/>
      <c r="F34" s="147"/>
      <c r="G34" s="147"/>
      <c r="H34" s="147"/>
      <c r="I34" s="147"/>
      <c r="J34" s="147"/>
      <c r="K34" s="147"/>
      <c r="L34" s="147"/>
    </row>
    <row r="35">
      <c r="A35" s="147"/>
      <c r="B35" s="163"/>
      <c r="C35" s="162"/>
      <c r="D35" s="162"/>
      <c r="E35" s="162"/>
      <c r="F35" s="147"/>
      <c r="G35" s="147"/>
      <c r="H35" s="147"/>
      <c r="I35" s="147"/>
      <c r="J35" s="147"/>
      <c r="K35" s="147"/>
      <c r="L35" s="147"/>
    </row>
    <row r="36">
      <c r="A36" s="147"/>
      <c r="B36" s="163"/>
      <c r="C36" s="162"/>
      <c r="D36" s="162"/>
      <c r="E36" s="162"/>
      <c r="F36" s="147"/>
      <c r="G36" s="147"/>
      <c r="H36" s="147"/>
      <c r="I36" s="147"/>
      <c r="J36" s="147"/>
      <c r="K36" s="147"/>
      <c r="L36" s="147"/>
    </row>
    <row r="37">
      <c r="A37" s="147"/>
      <c r="B37" s="163"/>
      <c r="C37" s="162"/>
      <c r="D37" s="162"/>
      <c r="E37" s="162"/>
      <c r="F37" s="147"/>
      <c r="G37" s="147"/>
      <c r="H37" s="147"/>
      <c r="I37" s="147"/>
      <c r="J37" s="147"/>
      <c r="K37" s="147"/>
      <c r="L37" s="147"/>
    </row>
    <row r="38">
      <c r="A38" s="147"/>
      <c r="B38" s="163"/>
      <c r="C38" s="162"/>
      <c r="D38" s="162"/>
      <c r="E38" s="162"/>
      <c r="F38" s="147"/>
      <c r="G38" s="147"/>
      <c r="H38" s="147"/>
      <c r="I38" s="147"/>
      <c r="J38" s="147"/>
      <c r="K38" s="147"/>
      <c r="L38" s="147"/>
    </row>
    <row r="39">
      <c r="A39" s="147"/>
      <c r="B39" s="163"/>
      <c r="C39" s="162"/>
      <c r="D39" s="162"/>
      <c r="E39" s="162"/>
      <c r="F39" s="147"/>
      <c r="G39" s="147"/>
      <c r="H39" s="147"/>
      <c r="I39" s="147"/>
      <c r="J39" s="147"/>
      <c r="K39" s="147"/>
      <c r="L39" s="147"/>
    </row>
    <row r="40">
      <c r="A40" s="147"/>
      <c r="B40" s="163"/>
      <c r="C40" s="162"/>
      <c r="D40" s="164"/>
      <c r="E40" s="147"/>
      <c r="F40" s="147"/>
      <c r="G40" s="147"/>
      <c r="H40" s="147"/>
      <c r="I40" s="147"/>
      <c r="J40" s="147"/>
      <c r="K40" s="147"/>
      <c r="L40" s="147"/>
    </row>
    <row r="41">
      <c r="A41" s="147"/>
      <c r="B41" s="163"/>
      <c r="C41" s="162"/>
      <c r="D41" s="164"/>
      <c r="E41" s="147"/>
      <c r="F41" s="147"/>
      <c r="G41" s="147"/>
      <c r="H41" s="147"/>
      <c r="I41" s="147"/>
      <c r="J41" s="147"/>
      <c r="K41" s="147"/>
      <c r="L41" s="147"/>
    </row>
    <row r="42">
      <c r="A42" s="147"/>
      <c r="B42" s="163"/>
      <c r="C42" s="162"/>
      <c r="D42" s="164"/>
      <c r="E42" s="147"/>
      <c r="F42" s="147"/>
      <c r="G42" s="147"/>
      <c r="H42" s="147"/>
      <c r="I42" s="147"/>
      <c r="J42" s="147"/>
      <c r="K42" s="147"/>
      <c r="L42" s="147"/>
    </row>
    <row r="43">
      <c r="A43" s="147"/>
      <c r="B43" s="163"/>
      <c r="C43" s="162"/>
      <c r="D43" s="164"/>
      <c r="E43" s="147"/>
      <c r="F43" s="147"/>
      <c r="G43" s="147"/>
      <c r="H43" s="147"/>
      <c r="I43" s="147"/>
      <c r="J43" s="147"/>
      <c r="K43" s="147"/>
      <c r="L43" s="147"/>
    </row>
    <row r="44">
      <c r="A44" s="147"/>
      <c r="B44" s="163"/>
      <c r="C44" s="162"/>
      <c r="D44" s="164"/>
      <c r="E44" s="147"/>
      <c r="F44" s="147"/>
      <c r="G44" s="147"/>
      <c r="H44" s="147"/>
      <c r="I44" s="147"/>
      <c r="J44" s="147"/>
      <c r="K44" s="147"/>
      <c r="L44" s="147"/>
    </row>
    <row r="45">
      <c r="A45" s="147"/>
      <c r="B45" s="163"/>
      <c r="C45" s="162"/>
      <c r="D45" s="164"/>
      <c r="E45" s="147"/>
      <c r="F45" s="147"/>
      <c r="G45" s="147"/>
      <c r="H45" s="147"/>
      <c r="I45" s="147"/>
      <c r="J45" s="147"/>
      <c r="K45" s="147"/>
      <c r="L45" s="147"/>
    </row>
    <row r="46">
      <c r="A46" s="147"/>
      <c r="B46" s="163"/>
      <c r="C46" s="162"/>
      <c r="D46" s="164"/>
      <c r="E46" s="147"/>
      <c r="F46" s="147"/>
      <c r="G46" s="147"/>
      <c r="H46" s="147"/>
      <c r="I46" s="147"/>
      <c r="J46" s="147"/>
      <c r="K46" s="147"/>
      <c r="L46" s="147"/>
    </row>
    <row r="47">
      <c r="A47" s="147"/>
      <c r="B47" s="163"/>
      <c r="C47" s="162"/>
      <c r="D47" s="164"/>
      <c r="E47" s="147"/>
      <c r="F47" s="147"/>
      <c r="G47" s="147"/>
      <c r="H47" s="147"/>
      <c r="I47" s="147"/>
      <c r="J47" s="147"/>
      <c r="K47" s="147"/>
      <c r="L47" s="147"/>
    </row>
    <row r="48">
      <c r="A48" s="147"/>
      <c r="B48" s="163"/>
      <c r="C48" s="162"/>
      <c r="D48" s="164"/>
      <c r="E48" s="147"/>
      <c r="F48" s="147"/>
      <c r="G48" s="147"/>
      <c r="H48" s="147"/>
      <c r="I48" s="147"/>
      <c r="J48" s="147"/>
      <c r="K48" s="147"/>
      <c r="L48" s="147"/>
    </row>
    <row r="49">
      <c r="A49" s="147"/>
      <c r="B49" s="163"/>
      <c r="C49" s="162"/>
      <c r="D49" s="164"/>
      <c r="E49" s="147"/>
      <c r="F49" s="147"/>
      <c r="G49" s="147"/>
      <c r="H49" s="147"/>
      <c r="I49" s="147"/>
      <c r="J49" s="147"/>
      <c r="K49" s="147"/>
      <c r="L49" s="147"/>
    </row>
    <row r="50">
      <c r="A50" s="147"/>
      <c r="B50" s="163"/>
      <c r="C50" s="162"/>
      <c r="D50" s="164"/>
      <c r="E50" s="147"/>
      <c r="F50" s="147"/>
      <c r="G50" s="147"/>
      <c r="H50" s="147"/>
      <c r="I50" s="147"/>
      <c r="J50" s="147"/>
      <c r="K50" s="147"/>
      <c r="L50" s="147"/>
    </row>
    <row r="51">
      <c r="A51" s="147"/>
      <c r="B51" s="163"/>
      <c r="C51" s="162"/>
      <c r="D51" s="164"/>
      <c r="E51" s="147"/>
      <c r="F51" s="147"/>
      <c r="G51" s="147"/>
      <c r="H51" s="147"/>
      <c r="I51" s="147"/>
      <c r="J51" s="147"/>
      <c r="K51" s="147"/>
      <c r="L51" s="147"/>
    </row>
    <row r="52">
      <c r="A52" s="147"/>
      <c r="B52" s="163"/>
      <c r="C52" s="162"/>
      <c r="D52" s="164"/>
      <c r="E52" s="147"/>
      <c r="F52" s="147"/>
      <c r="G52" s="147"/>
      <c r="H52" s="147"/>
      <c r="I52" s="147"/>
      <c r="J52" s="147"/>
      <c r="K52" s="147"/>
      <c r="L52" s="147"/>
    </row>
    <row r="53">
      <c r="A53" s="147"/>
      <c r="B53" s="165"/>
      <c r="C53" s="147"/>
      <c r="D53" s="147"/>
      <c r="E53" s="147"/>
      <c r="F53" s="147"/>
      <c r="G53" s="147"/>
      <c r="H53" s="147"/>
      <c r="I53" s="147"/>
      <c r="J53" s="147"/>
      <c r="K53" s="147"/>
      <c r="L53" s="147"/>
    </row>
  </sheetData>
  <mergeCells count="2">
    <mergeCell ref="B2:I2"/>
    <mergeCell ref="B23:C23"/>
  </mergeCells>
  <dataValidations>
    <dataValidation type="list" allowBlank="1" showErrorMessage="1" sqref="C16:I16">
      <formula1>"A,B,C,D,E,F,G,H,I"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1" max="11" width="26.86"/>
  </cols>
  <sheetData>
    <row r="1">
      <c r="A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>
      <c r="A2" s="147"/>
      <c r="B2" s="148" t="s">
        <v>377</v>
      </c>
      <c r="C2" s="149"/>
      <c r="D2" s="149"/>
      <c r="E2" s="149"/>
      <c r="F2" s="149"/>
      <c r="G2" s="149"/>
      <c r="H2" s="149"/>
      <c r="I2" s="150"/>
      <c r="J2" s="147"/>
      <c r="K2" s="147"/>
      <c r="L2" s="147"/>
    </row>
    <row r="3">
      <c r="A3" s="147"/>
      <c r="B3" s="151" t="s">
        <v>355</v>
      </c>
      <c r="C3" s="152" t="s">
        <v>356</v>
      </c>
      <c r="D3" s="152" t="s">
        <v>357</v>
      </c>
      <c r="E3" s="152" t="s">
        <v>358</v>
      </c>
      <c r="F3" s="152" t="s">
        <v>359</v>
      </c>
      <c r="G3" s="152" t="s">
        <v>360</v>
      </c>
      <c r="H3" s="152" t="s">
        <v>361</v>
      </c>
      <c r="I3" s="152" t="s">
        <v>363</v>
      </c>
      <c r="J3" s="147"/>
      <c r="K3" s="147"/>
      <c r="L3" s="147"/>
    </row>
    <row r="4">
      <c r="A4" s="147"/>
      <c r="B4" s="151" t="s">
        <v>109</v>
      </c>
      <c r="C4" s="153">
        <v>746.35</v>
      </c>
      <c r="D4" s="153">
        <v>388.08</v>
      </c>
      <c r="E4" s="153">
        <v>275.36</v>
      </c>
      <c r="F4" s="153">
        <v>294.57</v>
      </c>
      <c r="G4" s="153">
        <v>371.71</v>
      </c>
      <c r="H4" s="153">
        <v>131.83</v>
      </c>
      <c r="I4" s="153">
        <v>469.78</v>
      </c>
      <c r="J4" s="147"/>
      <c r="K4" s="147"/>
      <c r="L4" s="147"/>
    </row>
    <row r="5">
      <c r="A5" s="147"/>
      <c r="B5" s="151" t="s">
        <v>138</v>
      </c>
      <c r="C5" s="153">
        <v>444.03</v>
      </c>
      <c r="D5" s="153">
        <v>266.81</v>
      </c>
      <c r="E5" s="153">
        <v>229.61</v>
      </c>
      <c r="F5" s="153">
        <v>260.67</v>
      </c>
      <c r="G5" s="153">
        <v>296.88</v>
      </c>
      <c r="H5" s="153">
        <v>94.17</v>
      </c>
      <c r="I5" s="153">
        <v>276.31</v>
      </c>
      <c r="J5" s="147"/>
      <c r="K5" s="147"/>
      <c r="L5" s="147"/>
    </row>
    <row r="6">
      <c r="A6" s="147"/>
      <c r="B6" s="151" t="s">
        <v>176</v>
      </c>
      <c r="C6" s="153">
        <v>322.16</v>
      </c>
      <c r="D6" s="153">
        <v>186.7</v>
      </c>
      <c r="E6" s="153">
        <v>148.58</v>
      </c>
      <c r="F6" s="153">
        <v>190.19</v>
      </c>
      <c r="G6" s="153">
        <v>245.71</v>
      </c>
      <c r="H6" s="153">
        <v>61.49</v>
      </c>
      <c r="I6" s="153">
        <v>205.6</v>
      </c>
      <c r="J6" s="147"/>
      <c r="K6" s="147"/>
      <c r="L6" s="147"/>
    </row>
    <row r="7">
      <c r="A7" s="147"/>
      <c r="B7" s="151" t="s">
        <v>146</v>
      </c>
      <c r="C7" s="153">
        <v>297.56</v>
      </c>
      <c r="D7" s="153">
        <v>141.29</v>
      </c>
      <c r="E7" s="153">
        <v>121.83</v>
      </c>
      <c r="F7" s="153">
        <v>111.55</v>
      </c>
      <c r="G7" s="153">
        <v>187.95</v>
      </c>
      <c r="H7" s="153">
        <v>37.62</v>
      </c>
      <c r="I7" s="153">
        <v>116.5</v>
      </c>
      <c r="J7" s="147"/>
      <c r="K7" s="147"/>
      <c r="L7" s="147"/>
    </row>
    <row r="8">
      <c r="A8" s="147"/>
      <c r="B8" s="151" t="s">
        <v>366</v>
      </c>
      <c r="C8" s="153">
        <v>233.6</v>
      </c>
      <c r="D8" s="153">
        <v>58.03</v>
      </c>
      <c r="E8" s="153">
        <v>100.76</v>
      </c>
      <c r="F8" s="153">
        <v>85.21</v>
      </c>
      <c r="G8" s="153">
        <v>156.36</v>
      </c>
      <c r="H8" s="153">
        <v>18.44</v>
      </c>
      <c r="I8" s="153">
        <v>64.83</v>
      </c>
      <c r="J8" s="147"/>
      <c r="K8" s="147"/>
      <c r="L8" s="147"/>
    </row>
    <row r="9">
      <c r="A9" s="147"/>
      <c r="B9" s="151" t="s">
        <v>161</v>
      </c>
      <c r="C9" s="153">
        <v>145.67</v>
      </c>
      <c r="D9" s="153">
        <v>46.36</v>
      </c>
      <c r="E9" s="153">
        <v>82.29</v>
      </c>
      <c r="F9" s="153">
        <v>65.9</v>
      </c>
      <c r="G9" s="153">
        <v>93.23</v>
      </c>
      <c r="H9" s="153">
        <v>15.68</v>
      </c>
      <c r="I9" s="153">
        <v>42.14</v>
      </c>
      <c r="J9" s="147"/>
      <c r="K9" s="147"/>
      <c r="L9" s="147"/>
    </row>
    <row r="10">
      <c r="A10" s="147"/>
      <c r="B10" s="151" t="s">
        <v>179</v>
      </c>
      <c r="C10" s="153">
        <v>85.83</v>
      </c>
      <c r="D10" s="153">
        <v>0.0</v>
      </c>
      <c r="E10" s="153">
        <v>61.55</v>
      </c>
      <c r="F10" s="153">
        <v>38.82</v>
      </c>
      <c r="G10" s="153">
        <v>69.26</v>
      </c>
      <c r="H10" s="153">
        <v>10.77</v>
      </c>
      <c r="I10" s="153">
        <v>24.83</v>
      </c>
      <c r="J10" s="147"/>
      <c r="K10" s="147"/>
      <c r="L10" s="147"/>
    </row>
    <row r="11">
      <c r="A11" s="147"/>
      <c r="B11" s="151" t="s">
        <v>367</v>
      </c>
      <c r="C11" s="153">
        <v>0.0</v>
      </c>
      <c r="D11" s="153">
        <v>0.0</v>
      </c>
      <c r="E11" s="153">
        <v>33.25</v>
      </c>
      <c r="F11" s="153">
        <v>19.41</v>
      </c>
      <c r="G11" s="153">
        <v>27.71</v>
      </c>
      <c r="H11" s="153">
        <v>0.0</v>
      </c>
      <c r="I11" s="153">
        <v>0.0</v>
      </c>
      <c r="J11" s="147"/>
      <c r="K11" s="147"/>
      <c r="L11" s="147"/>
    </row>
    <row r="12">
      <c r="A12" s="147"/>
      <c r="B12" s="151" t="s">
        <v>368</v>
      </c>
      <c r="C12" s="153">
        <v>0.0</v>
      </c>
      <c r="D12" s="153">
        <v>0.0</v>
      </c>
      <c r="E12" s="153">
        <v>7.31</v>
      </c>
      <c r="F12" s="153">
        <v>0.0</v>
      </c>
      <c r="G12" s="153">
        <v>0.0</v>
      </c>
      <c r="H12" s="153">
        <v>0.0</v>
      </c>
      <c r="I12" s="153">
        <v>0.0</v>
      </c>
      <c r="J12" s="147"/>
      <c r="K12" s="147"/>
      <c r="L12" s="147"/>
    </row>
    <row r="13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</row>
    <row r="14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>
      <c r="A15" s="147"/>
      <c r="B15" s="154"/>
      <c r="C15" s="152" t="s">
        <v>356</v>
      </c>
      <c r="D15" s="152" t="s">
        <v>357</v>
      </c>
      <c r="E15" s="152" t="s">
        <v>358</v>
      </c>
      <c r="F15" s="152" t="s">
        <v>359</v>
      </c>
      <c r="G15" s="152" t="s">
        <v>360</v>
      </c>
      <c r="H15" s="152" t="s">
        <v>361</v>
      </c>
      <c r="I15" s="152" t="s">
        <v>369</v>
      </c>
      <c r="J15" s="147"/>
      <c r="K15" s="147"/>
      <c r="L15" s="147"/>
    </row>
    <row r="16">
      <c r="A16" s="147"/>
      <c r="B16" s="151" t="s">
        <v>355</v>
      </c>
      <c r="C16" s="155" t="s">
        <v>138</v>
      </c>
      <c r="D16" s="155" t="s">
        <v>109</v>
      </c>
      <c r="E16" s="155" t="s">
        <v>109</v>
      </c>
      <c r="F16" s="155" t="s">
        <v>109</v>
      </c>
      <c r="G16" s="155" t="s">
        <v>109</v>
      </c>
      <c r="H16" s="155" t="s">
        <v>109</v>
      </c>
      <c r="I16" s="155" t="s">
        <v>109</v>
      </c>
      <c r="J16" s="147"/>
      <c r="K16" s="147"/>
      <c r="L16" s="147"/>
    </row>
    <row r="17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</row>
    <row r="18">
      <c r="A18" s="147"/>
      <c r="B18" s="147"/>
      <c r="C18" s="156">
        <f>VLOOKUP(C16,$B$4:$I$12,2,FALSE)</f>
        <v>444.03</v>
      </c>
      <c r="D18" s="156">
        <f>VLOOKUP(D16,$B$4:$I$12,3,FALSE)</f>
        <v>388.08</v>
      </c>
      <c r="E18" s="156">
        <f>VLOOKUP(E16,$B$4:$I$12,4,FALSE)</f>
        <v>275.36</v>
      </c>
      <c r="F18" s="156">
        <f>VLOOKUP(F16,$B$4:$I$12,5,FALSE)</f>
        <v>294.57</v>
      </c>
      <c r="G18" s="156">
        <f>VLOOKUP(G16,$B$4:$I$12,6,FALSE)</f>
        <v>371.71</v>
      </c>
      <c r="H18" s="156">
        <f>VLOOKUP(H16,$B$4:$I$12,7,FALSE)</f>
        <v>131.83</v>
      </c>
      <c r="I18" s="156">
        <f>VLOOKUP(I16,$B$4:$I$12,8,FALSE)</f>
        <v>469.78</v>
      </c>
      <c r="J18" s="147"/>
      <c r="K18" s="157" t="s">
        <v>370</v>
      </c>
      <c r="L18" s="158">
        <f>L19-H18</f>
        <v>2243.53</v>
      </c>
    </row>
    <row r="19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57" t="s">
        <v>371</v>
      </c>
      <c r="L19" s="158">
        <f>SUM(C18:I18)</f>
        <v>2375.36</v>
      </c>
    </row>
    <row r="20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57" t="s">
        <v>372</v>
      </c>
      <c r="L20" s="159">
        <f>E18</f>
        <v>275.36</v>
      </c>
    </row>
    <row r="21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57" t="s">
        <v>373</v>
      </c>
      <c r="L21" s="159">
        <f>C18+D18+E18+G18+I18</f>
        <v>1948.96</v>
      </c>
    </row>
    <row r="2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57" t="s">
        <v>374</v>
      </c>
      <c r="L22" s="159">
        <f>C18+E18+F18+G18+I18</f>
        <v>1855.45</v>
      </c>
    </row>
    <row r="23">
      <c r="A23" s="147"/>
      <c r="B23" s="160"/>
      <c r="D23" s="147"/>
      <c r="E23" s="147"/>
      <c r="F23" s="147"/>
      <c r="G23" s="147"/>
      <c r="H23" s="147"/>
      <c r="I23" s="147"/>
      <c r="J23" s="147"/>
      <c r="K23" s="147"/>
      <c r="L23" s="147"/>
    </row>
    <row r="24">
      <c r="A24" s="147"/>
      <c r="B24" s="160"/>
      <c r="C24" s="160"/>
      <c r="D24" s="147"/>
      <c r="E24" s="147"/>
      <c r="F24" s="147"/>
      <c r="G24" s="147"/>
      <c r="H24" s="147"/>
      <c r="I24" s="147"/>
      <c r="J24" s="147"/>
      <c r="K24" s="147"/>
      <c r="L24" s="147"/>
    </row>
    <row r="25">
      <c r="A25" s="147"/>
      <c r="B25" s="162"/>
      <c r="C25" s="162"/>
      <c r="D25" s="147"/>
      <c r="E25" s="147"/>
      <c r="F25" s="147"/>
      <c r="G25" s="147"/>
      <c r="H25" s="147"/>
      <c r="I25" s="147"/>
      <c r="J25" s="147"/>
      <c r="K25" s="147"/>
      <c r="L25" s="147"/>
    </row>
    <row r="26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</row>
    <row r="27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</row>
    <row r="28">
      <c r="A28" s="147"/>
      <c r="B28" s="160"/>
      <c r="C28" s="160"/>
      <c r="D28" s="160"/>
      <c r="E28" s="160"/>
      <c r="F28" s="147"/>
      <c r="G28" s="147"/>
      <c r="H28" s="147"/>
      <c r="I28" s="147"/>
      <c r="J28" s="147"/>
      <c r="K28" s="147"/>
      <c r="L28" s="147"/>
    </row>
    <row r="29">
      <c r="A29" s="147"/>
      <c r="B29" s="163"/>
      <c r="C29" s="162"/>
      <c r="D29" s="162"/>
      <c r="E29" s="162"/>
      <c r="F29" s="147"/>
      <c r="G29" s="147"/>
      <c r="H29" s="147"/>
      <c r="I29" s="147"/>
      <c r="J29" s="147"/>
      <c r="K29" s="147"/>
      <c r="L29" s="147"/>
    </row>
    <row r="30">
      <c r="A30" s="147"/>
      <c r="B30" s="163"/>
      <c r="C30" s="162"/>
      <c r="D30" s="162"/>
      <c r="E30" s="162"/>
      <c r="F30" s="147"/>
      <c r="G30" s="147"/>
      <c r="H30" s="147"/>
      <c r="I30" s="147"/>
      <c r="J30" s="147"/>
      <c r="K30" s="147"/>
      <c r="L30" s="147"/>
    </row>
    <row r="31">
      <c r="A31" s="147"/>
      <c r="B31" s="163"/>
      <c r="C31" s="162"/>
      <c r="D31" s="162"/>
      <c r="E31" s="162"/>
      <c r="F31" s="147"/>
      <c r="G31" s="147"/>
      <c r="H31" s="147"/>
      <c r="I31" s="147"/>
      <c r="J31" s="147"/>
      <c r="K31" s="147"/>
      <c r="L31" s="147"/>
    </row>
    <row r="32">
      <c r="A32" s="147"/>
      <c r="B32" s="163"/>
      <c r="C32" s="162"/>
      <c r="D32" s="162"/>
      <c r="E32" s="162"/>
      <c r="F32" s="147"/>
      <c r="G32" s="147"/>
      <c r="H32" s="147"/>
      <c r="I32" s="147"/>
      <c r="J32" s="147"/>
      <c r="K32" s="147"/>
      <c r="L32" s="147"/>
    </row>
    <row r="33">
      <c r="A33" s="147"/>
      <c r="B33" s="163"/>
      <c r="C33" s="162"/>
      <c r="D33" s="162"/>
      <c r="E33" s="162"/>
      <c r="F33" s="147"/>
      <c r="G33" s="147"/>
      <c r="H33" s="147"/>
      <c r="I33" s="147"/>
      <c r="J33" s="147"/>
      <c r="K33" s="147"/>
      <c r="L33" s="147"/>
    </row>
    <row r="34">
      <c r="A34" s="147"/>
      <c r="B34" s="163"/>
      <c r="C34" s="162"/>
      <c r="D34" s="164"/>
      <c r="E34" s="162"/>
      <c r="F34" s="147"/>
      <c r="G34" s="147"/>
      <c r="H34" s="147"/>
      <c r="I34" s="147"/>
      <c r="J34" s="147"/>
      <c r="K34" s="147"/>
      <c r="L34" s="147"/>
    </row>
    <row r="35">
      <c r="A35" s="147"/>
      <c r="B35" s="163"/>
      <c r="C35" s="162"/>
      <c r="D35" s="162"/>
      <c r="E35" s="162"/>
      <c r="F35" s="147"/>
      <c r="G35" s="147"/>
      <c r="H35" s="147"/>
      <c r="I35" s="147"/>
      <c r="J35" s="147"/>
      <c r="K35" s="147"/>
      <c r="L35" s="147"/>
    </row>
    <row r="36">
      <c r="A36" s="147"/>
      <c r="B36" s="163"/>
      <c r="C36" s="162"/>
      <c r="D36" s="162"/>
      <c r="E36" s="162"/>
      <c r="F36" s="147"/>
      <c r="G36" s="147"/>
      <c r="H36" s="147"/>
      <c r="I36" s="147"/>
      <c r="J36" s="147"/>
      <c r="K36" s="147"/>
      <c r="L36" s="147"/>
    </row>
    <row r="37">
      <c r="A37" s="147"/>
      <c r="B37" s="163"/>
      <c r="C37" s="162"/>
      <c r="D37" s="162"/>
      <c r="E37" s="162"/>
      <c r="F37" s="147"/>
      <c r="G37" s="147"/>
      <c r="H37" s="147"/>
      <c r="I37" s="147"/>
      <c r="J37" s="147"/>
      <c r="K37" s="147"/>
      <c r="L37" s="147"/>
    </row>
    <row r="38">
      <c r="A38" s="147"/>
      <c r="B38" s="163"/>
      <c r="C38" s="162"/>
      <c r="D38" s="162"/>
      <c r="E38" s="162"/>
      <c r="F38" s="147"/>
      <c r="G38" s="147"/>
      <c r="H38" s="147"/>
      <c r="I38" s="147"/>
      <c r="J38" s="147"/>
      <c r="K38" s="147"/>
      <c r="L38" s="147"/>
    </row>
    <row r="39">
      <c r="A39" s="147"/>
      <c r="B39" s="163"/>
      <c r="C39" s="162"/>
      <c r="D39" s="162"/>
      <c r="E39" s="162"/>
      <c r="F39" s="147"/>
      <c r="G39" s="147"/>
      <c r="H39" s="147"/>
      <c r="I39" s="147"/>
      <c r="J39" s="147"/>
      <c r="K39" s="147"/>
      <c r="L39" s="147"/>
    </row>
    <row r="40">
      <c r="A40" s="147"/>
      <c r="B40" s="163"/>
      <c r="C40" s="162"/>
      <c r="D40" s="164"/>
      <c r="E40" s="147"/>
      <c r="F40" s="147"/>
      <c r="G40" s="147"/>
      <c r="H40" s="147"/>
      <c r="I40" s="147"/>
      <c r="J40" s="147"/>
      <c r="K40" s="147"/>
      <c r="L40" s="147"/>
    </row>
    <row r="41">
      <c r="A41" s="147"/>
      <c r="B41" s="163"/>
      <c r="C41" s="162"/>
      <c r="D41" s="164"/>
      <c r="E41" s="147"/>
      <c r="F41" s="147"/>
      <c r="G41" s="147"/>
      <c r="H41" s="147"/>
      <c r="I41" s="147"/>
      <c r="J41" s="147"/>
      <c r="K41" s="147"/>
      <c r="L41" s="147"/>
    </row>
    <row r="42">
      <c r="A42" s="147"/>
      <c r="B42" s="163"/>
      <c r="C42" s="162"/>
      <c r="D42" s="164"/>
      <c r="E42" s="147"/>
      <c r="F42" s="147"/>
      <c r="G42" s="147"/>
      <c r="H42" s="147"/>
      <c r="I42" s="147"/>
      <c r="J42" s="147"/>
      <c r="K42" s="147"/>
      <c r="L42" s="147"/>
    </row>
    <row r="43">
      <c r="A43" s="147"/>
      <c r="B43" s="163"/>
      <c r="C43" s="162"/>
      <c r="D43" s="164"/>
      <c r="E43" s="147"/>
      <c r="F43" s="147"/>
      <c r="G43" s="147"/>
      <c r="H43" s="147"/>
      <c r="I43" s="147"/>
      <c r="J43" s="147"/>
      <c r="K43" s="147"/>
      <c r="L43" s="147"/>
    </row>
    <row r="44">
      <c r="A44" s="147"/>
      <c r="B44" s="163"/>
      <c r="C44" s="162"/>
      <c r="D44" s="164"/>
      <c r="E44" s="147"/>
      <c r="F44" s="147"/>
      <c r="G44" s="147"/>
      <c r="H44" s="147"/>
      <c r="I44" s="147"/>
      <c r="J44" s="147"/>
      <c r="K44" s="147"/>
      <c r="L44" s="147"/>
    </row>
    <row r="45">
      <c r="A45" s="147"/>
      <c r="B45" s="163"/>
      <c r="C45" s="162"/>
      <c r="D45" s="164"/>
      <c r="E45" s="147"/>
      <c r="F45" s="147"/>
      <c r="G45" s="147"/>
      <c r="H45" s="147"/>
      <c r="I45" s="147"/>
      <c r="J45" s="147"/>
      <c r="K45" s="147"/>
      <c r="L45" s="147"/>
    </row>
    <row r="46">
      <c r="A46" s="147"/>
      <c r="B46" s="163"/>
      <c r="C46" s="162"/>
      <c r="D46" s="164"/>
      <c r="E46" s="147"/>
      <c r="F46" s="147"/>
      <c r="G46" s="147"/>
      <c r="H46" s="147"/>
      <c r="I46" s="147"/>
      <c r="J46" s="147"/>
      <c r="K46" s="147"/>
      <c r="L46" s="147"/>
    </row>
    <row r="47">
      <c r="A47" s="147"/>
      <c r="B47" s="163"/>
      <c r="C47" s="162"/>
      <c r="D47" s="164"/>
      <c r="E47" s="147"/>
      <c r="F47" s="147"/>
      <c r="G47" s="147"/>
      <c r="H47" s="147"/>
      <c r="I47" s="147"/>
      <c r="J47" s="147"/>
      <c r="K47" s="147"/>
      <c r="L47" s="147"/>
    </row>
    <row r="48">
      <c r="A48" s="147"/>
      <c r="B48" s="163"/>
      <c r="C48" s="162"/>
      <c r="D48" s="164"/>
      <c r="E48" s="147"/>
      <c r="F48" s="147"/>
      <c r="G48" s="147"/>
      <c r="H48" s="147"/>
      <c r="I48" s="147"/>
      <c r="J48" s="147"/>
      <c r="K48" s="147"/>
      <c r="L48" s="147"/>
    </row>
    <row r="49">
      <c r="A49" s="147"/>
      <c r="B49" s="163"/>
      <c r="C49" s="162"/>
      <c r="D49" s="164"/>
      <c r="E49" s="147"/>
      <c r="F49" s="147"/>
      <c r="G49" s="147"/>
      <c r="H49" s="147"/>
      <c r="I49" s="147"/>
      <c r="J49" s="147"/>
      <c r="K49" s="147"/>
      <c r="L49" s="147"/>
    </row>
    <row r="50">
      <c r="A50" s="147"/>
      <c r="B50" s="163"/>
      <c r="C50" s="162"/>
      <c r="D50" s="164"/>
      <c r="E50" s="147"/>
      <c r="F50" s="147"/>
      <c r="G50" s="147"/>
      <c r="H50" s="147"/>
      <c r="I50" s="147"/>
      <c r="J50" s="147"/>
      <c r="K50" s="147"/>
      <c r="L50" s="147"/>
    </row>
    <row r="51">
      <c r="A51" s="147"/>
      <c r="B51" s="163"/>
      <c r="C51" s="162"/>
      <c r="D51" s="164"/>
      <c r="E51" s="147"/>
      <c r="F51" s="147"/>
      <c r="G51" s="147"/>
      <c r="H51" s="147"/>
      <c r="I51" s="147"/>
      <c r="J51" s="147"/>
      <c r="K51" s="147"/>
      <c r="L51" s="147"/>
    </row>
    <row r="52">
      <c r="A52" s="147"/>
      <c r="B52" s="163"/>
      <c r="C52" s="162"/>
      <c r="D52" s="164"/>
      <c r="E52" s="147"/>
      <c r="F52" s="147"/>
      <c r="G52" s="147"/>
      <c r="H52" s="147"/>
      <c r="I52" s="147"/>
      <c r="J52" s="147"/>
      <c r="K52" s="147"/>
      <c r="L52" s="147"/>
    </row>
    <row r="53">
      <c r="A53" s="147"/>
      <c r="B53" s="165"/>
      <c r="C53" s="147"/>
      <c r="D53" s="147"/>
      <c r="E53" s="147"/>
      <c r="F53" s="147"/>
      <c r="G53" s="147"/>
      <c r="H53" s="147"/>
      <c r="I53" s="147"/>
      <c r="J53" s="147"/>
      <c r="K53" s="147"/>
      <c r="L53" s="147"/>
    </row>
  </sheetData>
  <mergeCells count="2">
    <mergeCell ref="B2:I2"/>
    <mergeCell ref="B23:C23"/>
  </mergeCells>
  <dataValidations>
    <dataValidation type="list" allowBlank="1" showErrorMessage="1" sqref="C16:I16">
      <formula1>"A,B,C,D,E,F,G,H,I"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3.29"/>
    <col customWidth="1" min="6" max="6" width="27.29"/>
  </cols>
  <sheetData>
    <row r="1">
      <c r="A1" s="166" t="s">
        <v>285</v>
      </c>
      <c r="B1" s="166" t="s">
        <v>286</v>
      </c>
      <c r="C1" s="166" t="s">
        <v>287</v>
      </c>
      <c r="D1" s="166" t="s">
        <v>288</v>
      </c>
      <c r="E1" s="166" t="s">
        <v>378</v>
      </c>
      <c r="F1" s="166" t="s">
        <v>290</v>
      </c>
      <c r="G1" s="166" t="s">
        <v>291</v>
      </c>
      <c r="H1" s="166" t="s">
        <v>292</v>
      </c>
      <c r="I1" s="166" t="s">
        <v>293</v>
      </c>
      <c r="J1" s="166" t="s">
        <v>294</v>
      </c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>
      <c r="A2" s="168">
        <v>1.0</v>
      </c>
      <c r="B2" s="169" t="s">
        <v>295</v>
      </c>
      <c r="C2" s="170"/>
      <c r="D2" s="171"/>
      <c r="E2" s="171"/>
      <c r="F2" s="171"/>
      <c r="G2" s="168" t="str">
        <f>SUM(E3:E7)</f>
        <v>#N/A</v>
      </c>
      <c r="H2" s="171"/>
      <c r="I2" s="171"/>
      <c r="J2" s="168" t="str">
        <f>SUM(I3:I7)</f>
        <v>#N/A</v>
      </c>
    </row>
    <row r="3">
      <c r="A3" s="172">
        <v>46023.0</v>
      </c>
      <c r="B3" s="173" t="s">
        <v>29</v>
      </c>
      <c r="C3" s="174">
        <f>VLOOKUP(B3,CALCULOS!$A$2:$F$35,3,FALSE)</f>
        <v>0</v>
      </c>
      <c r="D3" s="174" t="s">
        <v>296</v>
      </c>
      <c r="E3" s="175">
        <f>VLOOKUP(B3,CALCULOS!$A$2:$F$35,2,FALSE)</f>
        <v>0</v>
      </c>
      <c r="F3" s="175">
        <f t="shared" ref="F3:F7" si="1">E3*1.3</f>
        <v>0</v>
      </c>
      <c r="G3" s="176"/>
      <c r="H3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" s="177">
        <f t="shared" ref="I3:I7" si="2">F3*H3</f>
        <v>0</v>
      </c>
      <c r="J3" s="178"/>
    </row>
    <row r="4">
      <c r="A4" s="172">
        <v>46054.0</v>
      </c>
      <c r="B4" s="173" t="s">
        <v>40</v>
      </c>
      <c r="C4" s="174">
        <f>VLOOKUP(B4,CALCULOS!$A$2:$F$35,3,FALSE)</f>
        <v>0</v>
      </c>
      <c r="D4" s="174" t="s">
        <v>296</v>
      </c>
      <c r="E4" s="175">
        <f>VLOOKUP(B4,CALCULOS!$A$2:$F$35,2,FALSE)</f>
        <v>0</v>
      </c>
      <c r="F4" s="175">
        <f t="shared" si="1"/>
        <v>0</v>
      </c>
      <c r="G4" s="176"/>
      <c r="H4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4" s="177">
        <f t="shared" si="2"/>
        <v>0</v>
      </c>
      <c r="J4" s="178"/>
    </row>
    <row r="5">
      <c r="A5" s="172">
        <v>46082.0</v>
      </c>
      <c r="B5" s="173" t="s">
        <v>298</v>
      </c>
      <c r="C5" s="174" t="str">
        <f>VLOOKUP(B5,CALCULOS!$A$2:$F$35,3,FALSE)</f>
        <v>#N/A</v>
      </c>
      <c r="D5" s="174" t="s">
        <v>296</v>
      </c>
      <c r="E5" s="175" t="str">
        <f>VLOOKUP(B5,CALCULOS!$A$2:$F$35,2,FALSE)</f>
        <v>#N/A</v>
      </c>
      <c r="F5" s="175" t="str">
        <f t="shared" si="1"/>
        <v>#N/A</v>
      </c>
      <c r="G5" s="176"/>
      <c r="H5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5" s="174" t="str">
        <f t="shared" si="2"/>
        <v>#N/A</v>
      </c>
      <c r="J5" s="178"/>
    </row>
    <row r="6">
      <c r="A6" s="172">
        <v>46113.0</v>
      </c>
      <c r="B6" s="173" t="s">
        <v>52</v>
      </c>
      <c r="C6" s="174">
        <f>VLOOKUP(B6,CALCULOS!$A$2:$F$35,3,FALSE)</f>
        <v>6</v>
      </c>
      <c r="D6" s="174" t="s">
        <v>296</v>
      </c>
      <c r="E6" s="175">
        <f>VLOOKUP(B6,CALCULOS!$A$2:$F$35,2,FALSE)</f>
        <v>240</v>
      </c>
      <c r="F6" s="175">
        <f t="shared" si="1"/>
        <v>312</v>
      </c>
      <c r="G6" s="176"/>
      <c r="H6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6" s="177">
        <f t="shared" si="2"/>
        <v>699981.36</v>
      </c>
      <c r="J6" s="178"/>
    </row>
    <row r="7">
      <c r="A7" s="172">
        <v>46143.0</v>
      </c>
      <c r="B7" s="173" t="s">
        <v>55</v>
      </c>
      <c r="C7" s="174">
        <f>VLOOKUP(B7,CALCULOS!$A$2:$F$35,3,FALSE)</f>
        <v>0</v>
      </c>
      <c r="D7" s="174" t="s">
        <v>296</v>
      </c>
      <c r="E7" s="175">
        <f>VLOOKUP(B7,CALCULOS!$A$2:$F$35,2,FALSE)</f>
        <v>0</v>
      </c>
      <c r="F7" s="175">
        <f t="shared" si="1"/>
        <v>0</v>
      </c>
      <c r="G7" s="176"/>
      <c r="H7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7" s="177">
        <f t="shared" si="2"/>
        <v>0</v>
      </c>
      <c r="J7" s="178"/>
    </row>
    <row r="8">
      <c r="A8" s="168">
        <v>2.0</v>
      </c>
      <c r="B8" s="199" t="s">
        <v>316</v>
      </c>
      <c r="C8" s="168"/>
      <c r="D8" s="171"/>
      <c r="E8" s="202"/>
      <c r="F8" s="202"/>
      <c r="G8" s="206">
        <f>SUM(F9:F19)</f>
        <v>923.325</v>
      </c>
      <c r="H8" s="207"/>
      <c r="I8" s="171"/>
      <c r="J8" s="210">
        <f>SUM(I9:I19)</f>
        <v>2071507.337</v>
      </c>
    </row>
    <row r="9">
      <c r="A9" s="172">
        <v>46024.0</v>
      </c>
      <c r="B9" s="173" t="s">
        <v>87</v>
      </c>
      <c r="C9" s="174">
        <f>VLOOKUP(B9,CALCULOS!$A$2:$F$35,3,FALSE)</f>
        <v>1</v>
      </c>
      <c r="D9" s="174" t="s">
        <v>296</v>
      </c>
      <c r="E9" s="175">
        <f>VLOOKUP(B9,CALCULOS!$A$2:$F$35,2,FALSE)</f>
        <v>6.5</v>
      </c>
      <c r="F9" s="175">
        <f t="shared" ref="F9:F19" si="3">E9*1.3</f>
        <v>8.45</v>
      </c>
      <c r="G9" s="176"/>
      <c r="H9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9" s="177">
        <f t="shared" ref="I9:I19" si="4">F9*H9</f>
        <v>18957.8285</v>
      </c>
      <c r="J9" s="178"/>
    </row>
    <row r="10">
      <c r="A10" s="172">
        <v>46055.0</v>
      </c>
      <c r="B10" s="173" t="s">
        <v>97</v>
      </c>
      <c r="C10" s="174">
        <f>VLOOKUP(B10,CALCULOS!$A$2:$F$35,3,FALSE)</f>
        <v>1</v>
      </c>
      <c r="D10" s="174" t="s">
        <v>296</v>
      </c>
      <c r="E10" s="175">
        <f>VLOOKUP(B10,CALCULOS!$A$2:$F$35,2,FALSE)</f>
        <v>36</v>
      </c>
      <c r="F10" s="175">
        <f t="shared" si="3"/>
        <v>46.8</v>
      </c>
      <c r="G10" s="176"/>
      <c r="H10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0" s="177">
        <f t="shared" si="4"/>
        <v>104997.204</v>
      </c>
      <c r="J10" s="178"/>
    </row>
    <row r="11">
      <c r="A11" s="172">
        <v>46083.0</v>
      </c>
      <c r="B11" s="173" t="s">
        <v>108</v>
      </c>
      <c r="C11" s="174">
        <f>VLOOKUP(B11,CALCULOS!$A$2:$F$35,3,FALSE)</f>
        <v>1</v>
      </c>
      <c r="D11" s="174" t="s">
        <v>296</v>
      </c>
      <c r="E11" s="175">
        <f>VLOOKUP(B11,CALCULOS!$A$2:$F$35,2,FALSE)</f>
        <v>19</v>
      </c>
      <c r="F11" s="175">
        <f t="shared" si="3"/>
        <v>24.7</v>
      </c>
      <c r="G11" s="176"/>
      <c r="H11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1" s="177">
        <f t="shared" si="4"/>
        <v>55415.191</v>
      </c>
      <c r="J11" s="178"/>
    </row>
    <row r="12">
      <c r="A12" s="172">
        <v>46114.0</v>
      </c>
      <c r="B12" s="173" t="s">
        <v>57</v>
      </c>
      <c r="C12" s="174">
        <f>VLOOKUP(B12,CALCULOS!$A$2:$F$35,3,FALSE)</f>
        <v>1</v>
      </c>
      <c r="D12" s="174" t="s">
        <v>296</v>
      </c>
      <c r="E12" s="175">
        <f>VLOOKUP(B12,CALCULOS!$A$2:$F$35,2,FALSE)</f>
        <v>93.75</v>
      </c>
      <c r="F12" s="175">
        <f t="shared" si="3"/>
        <v>121.875</v>
      </c>
      <c r="G12" s="176"/>
      <c r="H12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2" s="177">
        <f t="shared" si="4"/>
        <v>273430.2188</v>
      </c>
      <c r="J12" s="178"/>
    </row>
    <row r="13">
      <c r="A13" s="172">
        <v>46144.0</v>
      </c>
      <c r="B13" s="173" t="s">
        <v>60</v>
      </c>
      <c r="C13" s="174">
        <f>VLOOKUP(B13,CALCULOS!$A$2:$F$35,3,FALSE)</f>
        <v>1</v>
      </c>
      <c r="D13" s="174" t="s">
        <v>296</v>
      </c>
      <c r="E13" s="175">
        <f>VLOOKUP(B13,CALCULOS!$A$2:$F$35,2,FALSE)</f>
        <v>90</v>
      </c>
      <c r="F13" s="175">
        <f t="shared" si="3"/>
        <v>117</v>
      </c>
      <c r="G13" s="176"/>
      <c r="H13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3" s="177">
        <f t="shared" si="4"/>
        <v>262493.01</v>
      </c>
      <c r="J13" s="178"/>
    </row>
    <row r="14">
      <c r="A14" s="172">
        <v>46175.0</v>
      </c>
      <c r="B14" s="173" t="s">
        <v>63</v>
      </c>
      <c r="C14" s="174">
        <f>VLOOKUP(B14,CALCULOS!$A$2:$F$35,3,FALSE)</f>
        <v>1</v>
      </c>
      <c r="D14" s="174" t="s">
        <v>296</v>
      </c>
      <c r="E14" s="175">
        <f>VLOOKUP(B14,CALCULOS!$A$2:$F$35,2,FALSE)</f>
        <v>90</v>
      </c>
      <c r="F14" s="175">
        <f t="shared" si="3"/>
        <v>117</v>
      </c>
      <c r="G14" s="176"/>
      <c r="H14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4" s="177">
        <f t="shared" si="4"/>
        <v>262493.01</v>
      </c>
      <c r="J14" s="178"/>
    </row>
    <row r="15">
      <c r="A15" s="172">
        <v>46205.0</v>
      </c>
      <c r="B15" s="173" t="s">
        <v>317</v>
      </c>
      <c r="C15" s="174">
        <f>VLOOKUP(B15,CALCULOS!$A$2:$F$35,3,FALSE)</f>
        <v>1</v>
      </c>
      <c r="D15" s="174" t="s">
        <v>296</v>
      </c>
      <c r="E15" s="175">
        <f>VLOOKUP(B15,CALCULOS!$A$2:$F$35,2,FALSE)</f>
        <v>90</v>
      </c>
      <c r="F15" s="175">
        <f t="shared" si="3"/>
        <v>117</v>
      </c>
      <c r="G15" s="176"/>
      <c r="H15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5" s="177">
        <f t="shared" si="4"/>
        <v>262493.01</v>
      </c>
      <c r="J15" s="178"/>
    </row>
    <row r="16">
      <c r="A16" s="172">
        <v>46236.0</v>
      </c>
      <c r="B16" s="173" t="s">
        <v>318</v>
      </c>
      <c r="C16" s="174">
        <f>VLOOKUP(B16,CALCULOS!$A$2:$F$35,3,FALSE)</f>
        <v>1</v>
      </c>
      <c r="D16" s="174" t="s">
        <v>296</v>
      </c>
      <c r="E16" s="175">
        <f>VLOOKUP(B16,CALCULOS!$A$2:$F$35,2,FALSE)</f>
        <v>90</v>
      </c>
      <c r="F16" s="175">
        <f t="shared" si="3"/>
        <v>117</v>
      </c>
      <c r="G16" s="176"/>
      <c r="H16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6" s="177">
        <f t="shared" si="4"/>
        <v>262493.01</v>
      </c>
      <c r="J16" s="178"/>
    </row>
    <row r="17">
      <c r="A17" s="172">
        <v>46267.0</v>
      </c>
      <c r="B17" s="173" t="s">
        <v>74</v>
      </c>
      <c r="C17" s="174">
        <f>VLOOKUP(B17,CALCULOS!$A$2:$F$35,3,FALSE)</f>
        <v>1</v>
      </c>
      <c r="D17" s="174" t="s">
        <v>296</v>
      </c>
      <c r="E17" s="175">
        <f>VLOOKUP(B17,CALCULOS!$A$2:$F$35,2,FALSE)</f>
        <v>90</v>
      </c>
      <c r="F17" s="175">
        <f t="shared" si="3"/>
        <v>117</v>
      </c>
      <c r="G17" s="176"/>
      <c r="H17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7" s="177">
        <f t="shared" si="4"/>
        <v>262493.01</v>
      </c>
      <c r="J17" s="178"/>
    </row>
    <row r="18">
      <c r="A18" s="172">
        <v>46297.0</v>
      </c>
      <c r="B18" s="173" t="s">
        <v>79</v>
      </c>
      <c r="C18" s="174">
        <f>VLOOKUP(B18,CALCULOS!$A$2:$F$35,3,FALSE)</f>
        <v>1</v>
      </c>
      <c r="D18" s="174" t="s">
        <v>296</v>
      </c>
      <c r="E18" s="175">
        <f>VLOOKUP(B18,CALCULOS!$A$2:$F$35,2,FALSE)</f>
        <v>90</v>
      </c>
      <c r="F18" s="175">
        <f t="shared" si="3"/>
        <v>117</v>
      </c>
      <c r="G18" s="176"/>
      <c r="H18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8" s="177">
        <f t="shared" si="4"/>
        <v>262493.01</v>
      </c>
      <c r="J18" s="178"/>
    </row>
    <row r="19">
      <c r="A19" s="172">
        <v>46328.0</v>
      </c>
      <c r="B19" s="173" t="s">
        <v>319</v>
      </c>
      <c r="C19" s="174">
        <f>VLOOKUP(B19,CALCULOS!$A$2:$F$35,3,FALSE)</f>
        <v>1</v>
      </c>
      <c r="D19" s="174" t="s">
        <v>296</v>
      </c>
      <c r="E19" s="175">
        <f>VLOOKUP(B19,CALCULOS!$A$2:$F$35,2,FALSE)</f>
        <v>15</v>
      </c>
      <c r="F19" s="175">
        <f t="shared" si="3"/>
        <v>19.5</v>
      </c>
      <c r="G19" s="176"/>
      <c r="H19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19" s="177">
        <f t="shared" si="4"/>
        <v>43748.835</v>
      </c>
      <c r="J19" s="178"/>
    </row>
    <row r="20">
      <c r="A20" s="168">
        <v>3.0</v>
      </c>
      <c r="B20" s="169" t="s">
        <v>320</v>
      </c>
      <c r="C20" s="168"/>
      <c r="D20" s="171"/>
      <c r="E20" s="202"/>
      <c r="F20" s="202"/>
      <c r="G20" s="206">
        <f>SUM(F21:F28)</f>
        <v>58.5</v>
      </c>
      <c r="H20" s="207"/>
      <c r="I20" s="171"/>
      <c r="J20" s="210">
        <f>SUM(I21:I28)</f>
        <v>138958.56</v>
      </c>
    </row>
    <row r="21">
      <c r="A21" s="172">
        <v>46025.0</v>
      </c>
      <c r="B21" s="227" t="s">
        <v>126</v>
      </c>
      <c r="C21" s="174">
        <f>VLOOKUP(B21,CALCULOS!$A$2:$F$35,3,FALSE)</f>
        <v>1</v>
      </c>
      <c r="D21" s="174" t="s">
        <v>296</v>
      </c>
      <c r="E21" s="175">
        <f>VLOOKUP(B21,CALCULOS!$A$2:$F$35,2,FALSE)</f>
        <v>0</v>
      </c>
      <c r="F21" s="175">
        <f t="shared" ref="F21:F28" si="5">E21*1.3</f>
        <v>0</v>
      </c>
      <c r="G21" s="176"/>
      <c r="H21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1" s="177">
        <f t="shared" ref="I21:I28" si="6">F21*H21</f>
        <v>0</v>
      </c>
      <c r="J21" s="178"/>
    </row>
    <row r="22">
      <c r="A22" s="172">
        <v>46056.0</v>
      </c>
      <c r="B22" s="227" t="s">
        <v>128</v>
      </c>
      <c r="C22" s="174">
        <f>VLOOKUP(B22,CALCULOS!$A$2:$F$35,3,FALSE)</f>
        <v>1</v>
      </c>
      <c r="D22" s="174" t="s">
        <v>296</v>
      </c>
      <c r="E22" s="175">
        <f>VLOOKUP(B22,CALCULOS!$A$2:$F$35,2,FALSE)</f>
        <v>0</v>
      </c>
      <c r="F22" s="175">
        <f t="shared" si="5"/>
        <v>0</v>
      </c>
      <c r="G22" s="176"/>
      <c r="H22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2" s="177">
        <f t="shared" si="6"/>
        <v>0</v>
      </c>
      <c r="J22" s="178"/>
    </row>
    <row r="23">
      <c r="A23" s="172">
        <v>46084.0</v>
      </c>
      <c r="B23" s="227" t="s">
        <v>132</v>
      </c>
      <c r="C23" s="174">
        <f>VLOOKUP(B23,CALCULOS!$A$2:$F$35,3,FALSE)</f>
        <v>1</v>
      </c>
      <c r="D23" s="174" t="s">
        <v>296</v>
      </c>
      <c r="E23" s="175">
        <f>VLOOKUP(B23,CALCULOS!$A$2:$F$35,2,FALSE)</f>
        <v>12.5</v>
      </c>
      <c r="F23" s="175">
        <f t="shared" si="5"/>
        <v>16.25</v>
      </c>
      <c r="G23" s="176"/>
      <c r="H23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3" s="177">
        <f t="shared" si="6"/>
        <v>38599.6</v>
      </c>
      <c r="J23" s="178"/>
    </row>
    <row r="24">
      <c r="A24" s="172">
        <v>46115.0</v>
      </c>
      <c r="B24" s="227" t="s">
        <v>136</v>
      </c>
      <c r="C24" s="174">
        <f>VLOOKUP(B24,CALCULOS!$A$2:$F$35,3,FALSE)</f>
        <v>1</v>
      </c>
      <c r="D24" s="174" t="s">
        <v>296</v>
      </c>
      <c r="E24" s="175">
        <f>VLOOKUP(B24,CALCULOS!$A$2:$F$35,2,FALSE)</f>
        <v>13</v>
      </c>
      <c r="F24" s="175">
        <f t="shared" si="5"/>
        <v>16.9</v>
      </c>
      <c r="G24" s="176"/>
      <c r="H24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4" s="177">
        <f t="shared" si="6"/>
        <v>40143.584</v>
      </c>
      <c r="J24" s="178"/>
    </row>
    <row r="25">
      <c r="A25" s="172">
        <v>46145.0</v>
      </c>
      <c r="B25" s="227" t="s">
        <v>139</v>
      </c>
      <c r="C25" s="174">
        <f>VLOOKUP(B25,CALCULOS!$A$2:$F$35,3,FALSE)</f>
        <v>1</v>
      </c>
      <c r="D25" s="174" t="s">
        <v>296</v>
      </c>
      <c r="E25" s="175">
        <f>VLOOKUP(B25,CALCULOS!$A$2:$F$35,2,FALSE)</f>
        <v>0</v>
      </c>
      <c r="F25" s="175">
        <f t="shared" si="5"/>
        <v>0</v>
      </c>
      <c r="G25" s="176"/>
      <c r="H25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5" s="177">
        <f t="shared" si="6"/>
        <v>0</v>
      </c>
      <c r="J25" s="178"/>
    </row>
    <row r="26">
      <c r="A26" s="172">
        <v>46176.0</v>
      </c>
      <c r="B26" s="227" t="s">
        <v>141</v>
      </c>
      <c r="C26" s="174">
        <f>VLOOKUP(B26,CALCULOS!$A$2:$F$35,3,FALSE)</f>
        <v>1</v>
      </c>
      <c r="D26" s="174" t="s">
        <v>296</v>
      </c>
      <c r="E26" s="175">
        <f>VLOOKUP(B26,CALCULOS!$A$2:$F$35,2,FALSE)</f>
        <v>0</v>
      </c>
      <c r="F26" s="175">
        <f t="shared" si="5"/>
        <v>0</v>
      </c>
      <c r="G26" s="176"/>
      <c r="H26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6" s="177">
        <f t="shared" si="6"/>
        <v>0</v>
      </c>
      <c r="J26" s="178"/>
    </row>
    <row r="27">
      <c r="A27" s="172">
        <v>46206.0</v>
      </c>
      <c r="B27" s="227" t="s">
        <v>112</v>
      </c>
      <c r="C27" s="174">
        <f>VLOOKUP(B27,CALCULOS!$A$2:$F$35,3,FALSE)</f>
        <v>1</v>
      </c>
      <c r="D27" s="174" t="s">
        <v>296</v>
      </c>
      <c r="E27" s="175">
        <f>VLOOKUP(B27,CALCULOS!$A$2:$F$35,2,FALSE)</f>
        <v>9.75</v>
      </c>
      <c r="F27" s="175">
        <f t="shared" si="5"/>
        <v>12.675</v>
      </c>
      <c r="G27" s="176"/>
      <c r="H27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7" s="177">
        <f t="shared" si="6"/>
        <v>30107.688</v>
      </c>
      <c r="J27" s="178"/>
    </row>
    <row r="28">
      <c r="A28" s="172">
        <v>46237.0</v>
      </c>
      <c r="B28" s="227" t="s">
        <v>115</v>
      </c>
      <c r="C28" s="174">
        <f>VLOOKUP(B28,CALCULOS!$A$2:$F$35,3,FALSE)</f>
        <v>1</v>
      </c>
      <c r="D28" s="174" t="s">
        <v>296</v>
      </c>
      <c r="E28" s="175">
        <f>VLOOKUP(B28,CALCULOS!$A$2:$F$35,2,FALSE)</f>
        <v>9.75</v>
      </c>
      <c r="F28" s="175">
        <f t="shared" si="5"/>
        <v>12.675</v>
      </c>
      <c r="G28" s="176"/>
      <c r="H28" s="177">
        <f>IF(UNIFICADO!$I$4="LIMA METROPOLITANA Y PROVINCIA CONSTITUCIONAL DEL CALLAO",'DATA LIMA Y CALLAO'!$L$19,IF(UNIFICADO!$I$4="COSTA (EXCEPTO LIMA METROPOLITANA Y CALLAO)",'DATA COSTA (NO LIMA NI CALLAO)'!$L$19,IF(UNIFICADO!$I$4="SELVA",'DATA SELVA'!$L$19,'DATA SIERRA'!$L$19)))</f>
        <v>2375.36</v>
      </c>
      <c r="I28" s="177">
        <f t="shared" si="6"/>
        <v>30107.688</v>
      </c>
      <c r="J28" s="178"/>
    </row>
    <row r="29">
      <c r="A29" s="168">
        <v>4.0</v>
      </c>
      <c r="B29" s="169" t="s">
        <v>323</v>
      </c>
      <c r="C29" s="168"/>
      <c r="D29" s="168"/>
      <c r="E29" s="206"/>
      <c r="F29" s="202"/>
      <c r="G29" s="228">
        <f>SUM(F30:F33)</f>
        <v>135.33</v>
      </c>
      <c r="H29" s="210"/>
      <c r="I29" s="168"/>
      <c r="J29" s="229">
        <f>SUM(I30:I33)</f>
        <v>303616.9149</v>
      </c>
    </row>
    <row r="30">
      <c r="A30" s="172">
        <v>46026.0</v>
      </c>
      <c r="B30" s="173" t="s">
        <v>150</v>
      </c>
      <c r="C30" s="174">
        <f>VLOOKUP(B30,CALCULOS!$A$2:$F$35,3,FALSE)</f>
        <v>1</v>
      </c>
      <c r="D30" s="174" t="s">
        <v>296</v>
      </c>
      <c r="E30" s="175">
        <f>VLOOKUP(B30,CALCULOS!$A$2:$F$35,2,FALSE)</f>
        <v>27</v>
      </c>
      <c r="F30" s="175">
        <f t="shared" ref="F30:F33" si="7">E30*1.3</f>
        <v>35.1</v>
      </c>
      <c r="G30" s="176"/>
      <c r="H30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0" s="177">
        <f t="shared" ref="I30:I33" si="8">F30*H30</f>
        <v>78747.903</v>
      </c>
      <c r="J30" s="178"/>
    </row>
    <row r="31">
      <c r="A31" s="172">
        <v>46057.0</v>
      </c>
      <c r="B31" s="173" t="s">
        <v>154</v>
      </c>
      <c r="C31" s="174">
        <f>VLOOKUP(B31,CALCULOS!$A$2:$F$35,3,FALSE)</f>
        <v>1</v>
      </c>
      <c r="D31" s="174" t="s">
        <v>296</v>
      </c>
      <c r="E31" s="175">
        <f>VLOOKUP(B31,CALCULOS!$A$2:$F$35,2,FALSE)</f>
        <v>22.5</v>
      </c>
      <c r="F31" s="175">
        <f t="shared" si="7"/>
        <v>29.25</v>
      </c>
      <c r="G31" s="176"/>
      <c r="H31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1" s="177">
        <f t="shared" si="8"/>
        <v>65623.2525</v>
      </c>
      <c r="J31" s="178"/>
    </row>
    <row r="32">
      <c r="A32" s="172">
        <v>46085.0</v>
      </c>
      <c r="B32" s="173" t="s">
        <v>119</v>
      </c>
      <c r="C32" s="174">
        <f>VLOOKUP(B32,CALCULOS!$A$2:$F$35,3,FALSE)</f>
        <v>1</v>
      </c>
      <c r="D32" s="174" t="s">
        <v>296</v>
      </c>
      <c r="E32" s="175">
        <f>VLOOKUP(B32,CALCULOS!$A$2:$F$35,2,FALSE)</f>
        <v>36.4</v>
      </c>
      <c r="F32" s="175">
        <f t="shared" si="7"/>
        <v>47.32</v>
      </c>
      <c r="G32" s="176"/>
      <c r="H32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2" s="177">
        <f t="shared" si="8"/>
        <v>106163.8396</v>
      </c>
      <c r="J32" s="178"/>
    </row>
    <row r="33">
      <c r="A33" s="172">
        <v>46116.0</v>
      </c>
      <c r="B33" s="173" t="s">
        <v>123</v>
      </c>
      <c r="C33" s="174">
        <f>VLOOKUP(B33,CALCULOS!$A$2:$F$35,3,FALSE)</f>
        <v>1</v>
      </c>
      <c r="D33" s="174" t="s">
        <v>296</v>
      </c>
      <c r="E33" s="175">
        <f>VLOOKUP(B33,CALCULOS!$A$2:$F$35,2,FALSE)</f>
        <v>18.2</v>
      </c>
      <c r="F33" s="175">
        <f t="shared" si="7"/>
        <v>23.66</v>
      </c>
      <c r="G33" s="176"/>
      <c r="H33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3" s="177">
        <f t="shared" si="8"/>
        <v>53081.9198</v>
      </c>
      <c r="J33" s="178"/>
    </row>
    <row r="34">
      <c r="A34" s="168">
        <v>5.0</v>
      </c>
      <c r="B34" s="199" t="s">
        <v>407</v>
      </c>
      <c r="C34" s="168"/>
      <c r="D34" s="171"/>
      <c r="E34" s="202"/>
      <c r="F34" s="202"/>
      <c r="G34" s="206">
        <f>F35</f>
        <v>224.25</v>
      </c>
      <c r="H34" s="207"/>
      <c r="I34" s="171"/>
      <c r="J34" s="210">
        <f>I35</f>
        <v>503111.6025</v>
      </c>
    </row>
    <row r="35">
      <c r="A35" s="172">
        <v>46027.0</v>
      </c>
      <c r="B35" s="230" t="s">
        <v>83</v>
      </c>
      <c r="C35" s="174">
        <f>VLOOKUP(B35,CALCULOS!$A$2:$F$35,3,FALSE)</f>
        <v>1</v>
      </c>
      <c r="D35" s="174" t="s">
        <v>296</v>
      </c>
      <c r="E35" s="175">
        <f>VLOOKUP(B35,CALCULOS!$A$2:$F$35,2,FALSE)</f>
        <v>172.5</v>
      </c>
      <c r="F35" s="175">
        <f>E35*1.3</f>
        <v>224.25</v>
      </c>
      <c r="G35" s="231"/>
      <c r="H35" s="177">
        <f>IF(UNIFICADO!$I$4="LIMA METROPOLITANA Y PROVINCIA CONSTITUCIONAL DEL CALLAO",'DATA LIMA Y CALLAO'!$L$18,IF(UNIFICADO!$I$4="COSTA (EXCEPTO LIMA METROPOLITANA Y CALLAO)",'DATA COSTA (NO LIMA NI CALLAO)'!$L$18,IF(UNIFICADO!$I$4="SELVA",'DATA SELVA'!$L$18,'DATA SIERRA'!$L$18)))</f>
        <v>2243.53</v>
      </c>
      <c r="I35" s="177">
        <f>F35*H35</f>
        <v>503111.6025</v>
      </c>
      <c r="J35" s="178"/>
    </row>
    <row r="36">
      <c r="A36" s="168">
        <v>6.0</v>
      </c>
      <c r="B36" s="199" t="s">
        <v>408</v>
      </c>
      <c r="C36" s="168"/>
      <c r="D36" s="171"/>
      <c r="E36" s="202"/>
      <c r="F36" s="202"/>
      <c r="G36" s="206" t="str">
        <f>SUM(F37:F38)</f>
        <v>#N/A</v>
      </c>
      <c r="H36" s="207"/>
      <c r="I36" s="171"/>
      <c r="J36" s="210" t="str">
        <f>SUM(I37:I38)</f>
        <v>#N/A</v>
      </c>
    </row>
    <row r="37">
      <c r="A37" s="172">
        <v>46028.0</v>
      </c>
      <c r="B37" s="230" t="s">
        <v>145</v>
      </c>
      <c r="C37" s="174">
        <f>VLOOKUP(B37,CALCULOS!$A$2:$F$35,3,FALSE)</f>
        <v>1</v>
      </c>
      <c r="D37" s="174" t="s">
        <v>296</v>
      </c>
      <c r="E37" s="175">
        <f>VLOOKUP(B37,CALCULOS!$A$2:$F$35,2,FALSE)</f>
        <v>420</v>
      </c>
      <c r="F37" s="175">
        <f t="shared" ref="F37:F38" si="9">E37*1.3</f>
        <v>546</v>
      </c>
      <c r="G37" s="233"/>
      <c r="H37" s="177">
        <f>IF(UNIFICADO!$I$4="LIMA METROPOLITANA Y PROVINCIA CONSTITUCIONAL DEL CALLAO",'DATA LIMA Y CALLAO'!$L$20,IF(UNIFICADO!$I$4="COSTA (EXCEPTO LIMA METROPOLITANA Y CALLAO)",'DATA COSTA (NO LIMA NI CALLAO)'!$L$20,IF(UNIFICADO!$I$4="SELVA",'DATA SELVA'!$L$20,'DATA SIERRA'!$L$20)))</f>
        <v>275.36</v>
      </c>
      <c r="I37" s="177">
        <f t="shared" ref="I37:I38" si="10">F37*H37</f>
        <v>150346.56</v>
      </c>
      <c r="J37" s="234"/>
    </row>
    <row r="38">
      <c r="A38" s="172">
        <v>46059.0</v>
      </c>
      <c r="B38" s="230" t="s">
        <v>338</v>
      </c>
      <c r="C38" s="174" t="str">
        <f>VLOOKUP(B38,CALCULOS!$A$2:$F$35,3,FALSE)</f>
        <v>#N/A</v>
      </c>
      <c r="D38" s="174" t="s">
        <v>296</v>
      </c>
      <c r="E38" s="175" t="str">
        <f>VLOOKUP(B38,CALCULOS!$A$2:$F$35,2,FALSE)</f>
        <v>#N/A</v>
      </c>
      <c r="F38" s="175" t="str">
        <f t="shared" si="9"/>
        <v>#N/A</v>
      </c>
      <c r="G38" s="233"/>
      <c r="H38" s="177">
        <f>IF(UNIFICADO!$I$4="LIMA METROPOLITANA Y PROVINCIA CONSTITUCIONAL DEL CALLAO",'DATA LIMA Y CALLAO'!$L$20,IF(UNIFICADO!$I$4="COSTA (EXCEPTO LIMA METROPOLITANA Y CALLAO)",'DATA COSTA (NO LIMA NI CALLAO)'!$L$20,IF(UNIFICADO!$I$4="SELVA",'DATA SELVA'!$L$20,'DATA SIERRA'!$L$20)))</f>
        <v>275.36</v>
      </c>
      <c r="I38" s="174" t="str">
        <f t="shared" si="10"/>
        <v>#N/A</v>
      </c>
      <c r="J38" s="234"/>
    </row>
    <row r="39">
      <c r="A39" s="168">
        <v>7.0</v>
      </c>
      <c r="B39" s="199" t="s">
        <v>409</v>
      </c>
      <c r="C39" s="168"/>
      <c r="D39" s="171"/>
      <c r="E39" s="202"/>
      <c r="F39" s="202"/>
      <c r="G39" s="206">
        <f>SUM(F40:F41)</f>
        <v>22.464</v>
      </c>
      <c r="H39" s="207"/>
      <c r="I39" s="171"/>
      <c r="J39" s="210">
        <f>SUM(I40:I41)</f>
        <v>43781.43744</v>
      </c>
    </row>
    <row r="40">
      <c r="A40" s="172">
        <v>46029.0</v>
      </c>
      <c r="B40" s="230" t="s">
        <v>158</v>
      </c>
      <c r="C40" s="174">
        <f>VLOOKUP(B40,CALCULOS!$A$2:$F$35,3,FALSE)</f>
        <v>1</v>
      </c>
      <c r="D40" s="174" t="s">
        <v>296</v>
      </c>
      <c r="E40" s="175">
        <f>VLOOKUP(B40,CALCULOS!$A$2:$F$35,2,FALSE)</f>
        <v>8.64</v>
      </c>
      <c r="F40" s="175">
        <f t="shared" ref="F40:F41" si="11">E40*1.3</f>
        <v>11.232</v>
      </c>
      <c r="G40" s="233"/>
      <c r="H40" s="177">
        <f>IF(UNIFICADO!$I$4="LIMA METROPOLITANA Y PROVINCIA CONSTITUCIONAL DEL CALLAO",'DATA LIMA Y CALLAO'!$L$21,IF(UNIFICADO!$I$4="COSTA (EXCEPTO LIMA METROPOLITANA Y CALLAO)",'DATA COSTA (NO LIMA NI CALLAO)'!$L$21,IF(UNIFICADO!$I$4="SELVA",'DATA SELVA'!$L$21,'DATA SIERRA'!$L$21)))</f>
        <v>1948.96</v>
      </c>
      <c r="I40" s="177">
        <f t="shared" ref="I40:I41" si="12">F40*H40</f>
        <v>21890.71872</v>
      </c>
      <c r="J40" s="234"/>
    </row>
    <row r="41">
      <c r="A41" s="172">
        <v>46060.0</v>
      </c>
      <c r="B41" s="230" t="s">
        <v>160</v>
      </c>
      <c r="C41" s="174">
        <f>VLOOKUP(B41,CALCULOS!$A$2:$F$35,3,FALSE)</f>
        <v>1</v>
      </c>
      <c r="D41" s="174" t="s">
        <v>296</v>
      </c>
      <c r="E41" s="175">
        <f>VLOOKUP(B41,CALCULOS!$A$2:$F$35,2,FALSE)</f>
        <v>8.64</v>
      </c>
      <c r="F41" s="175">
        <f t="shared" si="11"/>
        <v>11.232</v>
      </c>
      <c r="G41" s="233"/>
      <c r="H41" s="177">
        <f>IF(UNIFICADO!$I$4="LIMA METROPOLITANA Y PROVINCIA CONSTITUCIONAL DEL CALLAO",'DATA LIMA Y CALLAO'!$L$21,IF(UNIFICADO!$I$4="COSTA (EXCEPTO LIMA METROPOLITANA Y CALLAO)",'DATA COSTA (NO LIMA NI CALLAO)'!$L$21,IF(UNIFICADO!$I$4="SELVA",'DATA SELVA'!$L$21,'DATA SIERRA'!$L$21)))</f>
        <v>1948.96</v>
      </c>
      <c r="I41" s="177">
        <f t="shared" si="12"/>
        <v>21890.71872</v>
      </c>
      <c r="J41" s="234"/>
    </row>
    <row r="42">
      <c r="A42" s="168">
        <v>8.0</v>
      </c>
      <c r="B42" s="199" t="s">
        <v>412</v>
      </c>
      <c r="C42" s="168"/>
      <c r="D42" s="171"/>
      <c r="E42" s="202"/>
      <c r="F42" s="202"/>
      <c r="G42" s="206">
        <f>F43</f>
        <v>23.4</v>
      </c>
      <c r="H42" s="207"/>
      <c r="I42" s="171"/>
      <c r="J42" s="210">
        <f>I43</f>
        <v>43417.53</v>
      </c>
    </row>
    <row r="43">
      <c r="A43" s="172">
        <v>46030.0</v>
      </c>
      <c r="B43" s="230" t="s">
        <v>162</v>
      </c>
      <c r="C43" s="174">
        <v>1.0</v>
      </c>
      <c r="D43" s="174" t="s">
        <v>296</v>
      </c>
      <c r="E43" s="175">
        <f>VLOOKUP(B43,CALCULOS!$A$2:$F$35,2,FALSE)</f>
        <v>18</v>
      </c>
      <c r="F43" s="175">
        <f>E43*1.3</f>
        <v>23.4</v>
      </c>
      <c r="G43" s="233"/>
      <c r="H43" s="177">
        <f>IF(UNIFICADO!$I$4="LIMA METROPOLITANA Y PROVINCIA CONSTITUCIONAL DEL CALLAO",'DATA LIMA Y CALLAO'!$L$22,IF(UNIFICADO!$I$4="COSTA (EXCEPTO LIMA METROPOLITANA Y CALLAO)",'DATA COSTA (NO LIMA NI CALLAO)'!$L$22,IF(UNIFICADO!$I$4="SELVA",'DATA SELVA'!$L$22,'DATA SIERRA'!$L$22)))</f>
        <v>1855.45</v>
      </c>
      <c r="I43" s="177">
        <f>F43*H43</f>
        <v>43417.53</v>
      </c>
      <c r="J43" s="234"/>
    </row>
    <row r="44">
      <c r="A44" s="238"/>
      <c r="B44" s="239" t="s">
        <v>418</v>
      </c>
      <c r="C44" s="149"/>
      <c r="D44" s="149"/>
      <c r="E44" s="149"/>
      <c r="F44" s="149"/>
      <c r="G44" s="150"/>
      <c r="H44" s="240"/>
      <c r="I44" s="240"/>
      <c r="J44" s="241" t="s">
        <v>420</v>
      </c>
    </row>
    <row r="45">
      <c r="A45" s="178"/>
      <c r="B45" s="242" t="s">
        <v>350</v>
      </c>
      <c r="C45" s="149"/>
      <c r="D45" s="149"/>
      <c r="E45" s="149"/>
      <c r="F45" s="149"/>
      <c r="G45" s="150"/>
      <c r="H45" s="234"/>
      <c r="I45" s="234"/>
      <c r="J45" s="230" t="s">
        <v>421</v>
      </c>
    </row>
    <row r="46">
      <c r="A46" s="178"/>
      <c r="B46" s="242" t="s">
        <v>353</v>
      </c>
      <c r="C46" s="149"/>
      <c r="D46" s="149"/>
      <c r="E46" s="149"/>
      <c r="F46" s="149"/>
      <c r="G46" s="150"/>
      <c r="H46" s="234"/>
      <c r="I46" s="234"/>
      <c r="J46" s="230" t="s">
        <v>421</v>
      </c>
    </row>
    <row r="47">
      <c r="A47" s="178"/>
      <c r="B47" s="242" t="s">
        <v>362</v>
      </c>
      <c r="C47" s="149"/>
      <c r="D47" s="149"/>
      <c r="E47" s="149"/>
      <c r="F47" s="149"/>
      <c r="G47" s="150"/>
      <c r="H47" s="234"/>
      <c r="I47" s="234"/>
      <c r="J47" s="230" t="s">
        <v>423</v>
      </c>
    </row>
    <row r="48">
      <c r="A48" s="178"/>
      <c r="B48" s="242" t="s">
        <v>364</v>
      </c>
      <c r="C48" s="149"/>
      <c r="D48" s="149"/>
      <c r="E48" s="149"/>
      <c r="F48" s="149"/>
      <c r="G48" s="150"/>
      <c r="H48" s="234"/>
      <c r="I48" s="234"/>
      <c r="J48" s="230" t="s">
        <v>424</v>
      </c>
    </row>
    <row r="49">
      <c r="A49" s="178"/>
      <c r="B49" s="242" t="s">
        <v>365</v>
      </c>
      <c r="C49" s="149"/>
      <c r="D49" s="149"/>
      <c r="E49" s="149"/>
      <c r="F49" s="149"/>
      <c r="G49" s="150"/>
      <c r="H49" s="234"/>
      <c r="I49" s="234"/>
      <c r="J49" s="230" t="s">
        <v>425</v>
      </c>
    </row>
  </sheetData>
  <mergeCells count="6">
    <mergeCell ref="B44:G44"/>
    <mergeCell ref="B45:G45"/>
    <mergeCell ref="B46:G46"/>
    <mergeCell ref="B47:G47"/>
    <mergeCell ref="B48:G48"/>
    <mergeCell ref="B49:G4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55.71"/>
  </cols>
  <sheetData>
    <row r="1">
      <c r="A1" s="179" t="s">
        <v>379</v>
      </c>
      <c r="G1" s="180"/>
      <c r="H1" s="181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>
      <c r="A2" s="183"/>
      <c r="B2" s="181"/>
      <c r="C2" s="181"/>
      <c r="D2" s="181"/>
      <c r="E2" s="184"/>
      <c r="F2" s="185"/>
      <c r="G2" s="180"/>
      <c r="H2" s="181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</row>
    <row r="3">
      <c r="A3" s="186"/>
      <c r="B3" s="184"/>
      <c r="C3" s="184"/>
      <c r="D3" s="184"/>
      <c r="E3" s="184"/>
      <c r="F3" s="185"/>
      <c r="G3" s="180"/>
      <c r="H3" s="184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  <c r="Z3" s="182"/>
    </row>
    <row r="4">
      <c r="A4" s="184"/>
      <c r="B4" s="184"/>
      <c r="C4" s="184"/>
      <c r="D4" s="184"/>
      <c r="E4" s="184"/>
      <c r="F4" s="185"/>
      <c r="G4" s="180"/>
      <c r="H4" s="184"/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</row>
    <row r="5">
      <c r="A5" s="187" t="s">
        <v>285</v>
      </c>
      <c r="B5" s="188" t="s">
        <v>380</v>
      </c>
      <c r="C5" s="188" t="s">
        <v>288</v>
      </c>
      <c r="D5" s="189" t="s">
        <v>287</v>
      </c>
      <c r="E5" s="187" t="s">
        <v>381</v>
      </c>
      <c r="F5" s="187" t="s">
        <v>382</v>
      </c>
      <c r="G5" s="187" t="s">
        <v>383</v>
      </c>
      <c r="H5" s="190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1"/>
    </row>
    <row r="6">
      <c r="A6" s="192"/>
      <c r="B6" s="193" t="s">
        <v>384</v>
      </c>
      <c r="C6" s="149"/>
      <c r="D6" s="149"/>
      <c r="E6" s="149"/>
      <c r="F6" s="150"/>
      <c r="G6" s="180"/>
      <c r="H6" s="194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</row>
    <row r="7">
      <c r="A7" s="195"/>
      <c r="B7" s="196" t="s">
        <v>385</v>
      </c>
      <c r="C7" s="197"/>
      <c r="D7" s="197"/>
      <c r="E7" s="197"/>
      <c r="F7" s="197"/>
      <c r="G7" s="198"/>
      <c r="H7" s="194"/>
      <c r="I7" s="182"/>
      <c r="J7" s="182"/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</row>
    <row r="8">
      <c r="A8" s="200">
        <v>1.0</v>
      </c>
      <c r="B8" s="201" t="s">
        <v>386</v>
      </c>
      <c r="C8" s="203"/>
      <c r="D8" s="203"/>
      <c r="E8" s="204"/>
      <c r="F8" s="205"/>
      <c r="G8" s="208">
        <f>SUM(F9:F24)</f>
        <v>0</v>
      </c>
      <c r="H8" s="209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</row>
    <row r="9">
      <c r="A9" s="211"/>
      <c r="B9" s="212" t="s">
        <v>387</v>
      </c>
      <c r="C9" s="213" t="s">
        <v>388</v>
      </c>
      <c r="D9" s="214">
        <f>INICIAL!D6/4</f>
        <v>0</v>
      </c>
      <c r="E9" s="215">
        <v>900.0</v>
      </c>
      <c r="F9" s="216">
        <f t="shared" ref="F9:F24" si="1">D9*E9</f>
        <v>0</v>
      </c>
      <c r="G9" s="217"/>
      <c r="H9" s="194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</row>
    <row r="10">
      <c r="A10" s="211"/>
      <c r="B10" s="218" t="s">
        <v>389</v>
      </c>
      <c r="C10" s="213" t="s">
        <v>388</v>
      </c>
      <c r="D10" s="214">
        <f>CALCULOS!$C$16+CALCULOS!$C$17</f>
        <v>0</v>
      </c>
      <c r="E10" s="215">
        <v>400.0</v>
      </c>
      <c r="F10" s="216">
        <f t="shared" si="1"/>
        <v>0</v>
      </c>
      <c r="G10" s="217"/>
      <c r="H10" s="194"/>
      <c r="I10" s="182"/>
      <c r="J10" s="182"/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</row>
    <row r="11">
      <c r="A11" s="211"/>
      <c r="B11" s="218" t="s">
        <v>390</v>
      </c>
      <c r="C11" s="213" t="s">
        <v>388</v>
      </c>
      <c r="D11" s="214">
        <f>CALCULOS!$C$16+CALCULOS!$C$17</f>
        <v>0</v>
      </c>
      <c r="E11" s="215">
        <v>95.0</v>
      </c>
      <c r="F11" s="216">
        <f t="shared" si="1"/>
        <v>0</v>
      </c>
      <c r="G11" s="217"/>
      <c r="H11" s="194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</row>
    <row r="12">
      <c r="A12" s="211"/>
      <c r="B12" s="218" t="s">
        <v>391</v>
      </c>
      <c r="C12" s="213" t="s">
        <v>388</v>
      </c>
      <c r="D12" s="214">
        <f>CALCULOS!$C$16+CALCULOS!$C$17</f>
        <v>0</v>
      </c>
      <c r="E12" s="215">
        <v>750.0</v>
      </c>
      <c r="F12" s="216">
        <f t="shared" si="1"/>
        <v>0</v>
      </c>
      <c r="G12" s="217"/>
      <c r="H12" s="209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</row>
    <row r="13">
      <c r="A13" s="211"/>
      <c r="B13" s="218" t="s">
        <v>392</v>
      </c>
      <c r="C13" s="213" t="s">
        <v>388</v>
      </c>
      <c r="D13" s="214">
        <f>CALCULOS!$C$16+CALCULOS!$C$17</f>
        <v>0</v>
      </c>
      <c r="E13" s="215">
        <v>750.0</v>
      </c>
      <c r="F13" s="216">
        <f t="shared" si="1"/>
        <v>0</v>
      </c>
      <c r="G13" s="217"/>
      <c r="H13" s="194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</row>
    <row r="14">
      <c r="A14" s="211"/>
      <c r="B14" s="218" t="s">
        <v>393</v>
      </c>
      <c r="C14" s="213" t="s">
        <v>388</v>
      </c>
      <c r="D14" s="214">
        <f>CALCULOS!$C$16+CALCULOS!$C$17</f>
        <v>0</v>
      </c>
      <c r="E14" s="215">
        <v>390.0</v>
      </c>
      <c r="F14" s="216">
        <f t="shared" si="1"/>
        <v>0</v>
      </c>
      <c r="G14" s="217"/>
      <c r="H14" s="194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</row>
    <row r="15">
      <c r="A15" s="219"/>
      <c r="B15" s="220" t="s">
        <v>394</v>
      </c>
      <c r="C15" s="221" t="s">
        <v>388</v>
      </c>
      <c r="D15" s="214">
        <f>CALCULOS!$C$16+CALCULOS!$C$17</f>
        <v>0</v>
      </c>
      <c r="E15" s="222">
        <v>30.0</v>
      </c>
      <c r="F15" s="216">
        <f t="shared" si="1"/>
        <v>0</v>
      </c>
      <c r="G15" s="217"/>
      <c r="H15" s="223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</row>
    <row r="16">
      <c r="A16" s="219"/>
      <c r="B16" s="220" t="s">
        <v>395</v>
      </c>
      <c r="C16" s="221" t="s">
        <v>388</v>
      </c>
      <c r="D16" s="214">
        <f>CALCULOS!$C$16+CALCULOS!$C$17</f>
        <v>0</v>
      </c>
      <c r="E16" s="222">
        <v>3000.0</v>
      </c>
      <c r="F16" s="216">
        <f t="shared" si="1"/>
        <v>0</v>
      </c>
      <c r="G16" s="217"/>
      <c r="H16" s="223"/>
      <c r="I16" s="182"/>
      <c r="J16" s="182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</row>
    <row r="17">
      <c r="A17" s="219"/>
      <c r="B17" s="220" t="s">
        <v>396</v>
      </c>
      <c r="C17" s="221" t="s">
        <v>388</v>
      </c>
      <c r="D17" s="214">
        <f>CALCULOS!$C$16+CALCULOS!$C$17</f>
        <v>0</v>
      </c>
      <c r="E17" s="222">
        <v>1500.0</v>
      </c>
      <c r="F17" s="216">
        <f t="shared" si="1"/>
        <v>0</v>
      </c>
      <c r="G17" s="217"/>
      <c r="H17" s="223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</row>
    <row r="18">
      <c r="A18" s="219"/>
      <c r="B18" s="220" t="s">
        <v>397</v>
      </c>
      <c r="C18" s="221" t="s">
        <v>388</v>
      </c>
      <c r="D18" s="214">
        <f>CALCULOS!$C$16+CALCULOS!$C$17</f>
        <v>0</v>
      </c>
      <c r="E18" s="222">
        <v>3248.0</v>
      </c>
      <c r="F18" s="216">
        <f t="shared" si="1"/>
        <v>0</v>
      </c>
      <c r="G18" s="217"/>
      <c r="H18" s="223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</row>
    <row r="19">
      <c r="A19" s="219"/>
      <c r="B19" s="220" t="s">
        <v>398</v>
      </c>
      <c r="C19" s="221" t="s">
        <v>388</v>
      </c>
      <c r="D19" s="214">
        <f>CALCULOS!$C$16+CALCULOS!$C$17</f>
        <v>0</v>
      </c>
      <c r="E19" s="222">
        <v>3250.0</v>
      </c>
      <c r="F19" s="216">
        <f t="shared" si="1"/>
        <v>0</v>
      </c>
      <c r="G19" s="217"/>
      <c r="H19" s="223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</row>
    <row r="20">
      <c r="A20" s="219"/>
      <c r="B20" s="220" t="s">
        <v>399</v>
      </c>
      <c r="C20" s="221" t="s">
        <v>388</v>
      </c>
      <c r="D20" s="214">
        <f>CALCULOS!$C$16+CALCULOS!$C$17</f>
        <v>0</v>
      </c>
      <c r="E20" s="222">
        <v>572.5</v>
      </c>
      <c r="F20" s="216">
        <f t="shared" si="1"/>
        <v>0</v>
      </c>
      <c r="G20" s="217"/>
      <c r="H20" s="223"/>
      <c r="I20" s="182"/>
      <c r="J20" s="182"/>
      <c r="K20" s="182"/>
      <c r="L20" s="182"/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</row>
    <row r="21">
      <c r="A21" s="219"/>
      <c r="B21" s="220" t="s">
        <v>400</v>
      </c>
      <c r="C21" s="221" t="s">
        <v>388</v>
      </c>
      <c r="D21" s="214">
        <f>CALCULOS!$C$16+CALCULOS!$C$17</f>
        <v>0</v>
      </c>
      <c r="E21" s="222">
        <v>225.0</v>
      </c>
      <c r="F21" s="216">
        <f t="shared" si="1"/>
        <v>0</v>
      </c>
      <c r="G21" s="217"/>
      <c r="H21" s="223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</row>
    <row r="22">
      <c r="A22" s="219"/>
      <c r="B22" s="220" t="s">
        <v>401</v>
      </c>
      <c r="C22" s="221" t="s">
        <v>388</v>
      </c>
      <c r="D22" s="214">
        <f>CALCULOS!$C$16+CALCULOS!$C$17</f>
        <v>0</v>
      </c>
      <c r="E22" s="222">
        <v>347.5</v>
      </c>
      <c r="F22" s="216">
        <f t="shared" si="1"/>
        <v>0</v>
      </c>
      <c r="G22" s="217"/>
      <c r="H22" s="223"/>
      <c r="I22" s="182"/>
      <c r="J22" s="182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</row>
    <row r="23">
      <c r="A23" s="219"/>
      <c r="B23" s="220" t="s">
        <v>402</v>
      </c>
      <c r="C23" s="221" t="s">
        <v>388</v>
      </c>
      <c r="D23" s="214">
        <f>CALCULOS!$C$16+CALCULOS!$C$17</f>
        <v>0</v>
      </c>
      <c r="E23" s="222">
        <v>122.5</v>
      </c>
      <c r="F23" s="216">
        <f t="shared" si="1"/>
        <v>0</v>
      </c>
      <c r="G23" s="217"/>
      <c r="H23" s="223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</row>
    <row r="24">
      <c r="A24" s="219"/>
      <c r="B24" s="220" t="s">
        <v>403</v>
      </c>
      <c r="C24" s="221" t="s">
        <v>388</v>
      </c>
      <c r="D24" s="214">
        <f>CALCULOS!$C$16+CALCULOS!$C$17</f>
        <v>0</v>
      </c>
      <c r="E24" s="222">
        <v>75.0</v>
      </c>
      <c r="F24" s="216">
        <f t="shared" si="1"/>
        <v>0</v>
      </c>
      <c r="G24" s="217"/>
      <c r="H24" s="223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</row>
    <row r="25">
      <c r="A25" s="200">
        <v>2.0</v>
      </c>
      <c r="B25" s="201" t="s">
        <v>404</v>
      </c>
      <c r="C25" s="203"/>
      <c r="D25" s="203"/>
      <c r="E25" s="224"/>
      <c r="F25" s="205"/>
      <c r="G25" s="208">
        <f>SUM(F26:F41)</f>
        <v>123333</v>
      </c>
      <c r="H25" s="209"/>
      <c r="I25" s="182"/>
      <c r="J25" s="182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</row>
    <row r="26">
      <c r="A26" s="211"/>
      <c r="B26" s="225" t="s">
        <v>405</v>
      </c>
      <c r="C26" s="213" t="s">
        <v>388</v>
      </c>
      <c r="D26" s="214">
        <f>CALCULOS!$B$9/2</f>
        <v>120</v>
      </c>
      <c r="E26" s="215">
        <v>290.0</v>
      </c>
      <c r="F26" s="216">
        <f t="shared" ref="F26:F41" si="2">D26*E26</f>
        <v>34800</v>
      </c>
      <c r="G26" s="226"/>
      <c r="H26" s="209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</row>
    <row r="27">
      <c r="A27" s="211"/>
      <c r="B27" s="218" t="s">
        <v>389</v>
      </c>
      <c r="C27" s="213" t="s">
        <v>388</v>
      </c>
      <c r="D27" s="214">
        <f>CALCULOS!$C$9</f>
        <v>6</v>
      </c>
      <c r="E27" s="215">
        <v>400.0</v>
      </c>
      <c r="F27" s="216">
        <f t="shared" si="2"/>
        <v>2400</v>
      </c>
      <c r="G27" s="226"/>
      <c r="H27" s="209"/>
      <c r="I27" s="182"/>
      <c r="J27" s="182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</row>
    <row r="28">
      <c r="A28" s="211"/>
      <c r="B28" s="218" t="s">
        <v>390</v>
      </c>
      <c r="C28" s="213" t="s">
        <v>388</v>
      </c>
      <c r="D28" s="214">
        <f>CALCULOS!$C$9</f>
        <v>6</v>
      </c>
      <c r="E28" s="215">
        <v>95.0</v>
      </c>
      <c r="F28" s="216">
        <f t="shared" si="2"/>
        <v>570</v>
      </c>
      <c r="G28" s="226"/>
      <c r="H28" s="209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</row>
    <row r="29">
      <c r="A29" s="211"/>
      <c r="B29" s="218" t="s">
        <v>391</v>
      </c>
      <c r="C29" s="213" t="s">
        <v>388</v>
      </c>
      <c r="D29" s="214">
        <f>CALCULOS!$C$9</f>
        <v>6</v>
      </c>
      <c r="E29" s="215">
        <v>750.0</v>
      </c>
      <c r="F29" s="216">
        <f t="shared" si="2"/>
        <v>4500</v>
      </c>
      <c r="G29" s="226"/>
      <c r="H29" s="209"/>
      <c r="I29" s="182"/>
      <c r="J29" s="182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</row>
    <row r="30">
      <c r="A30" s="211"/>
      <c r="B30" s="218" t="s">
        <v>392</v>
      </c>
      <c r="C30" s="213" t="s">
        <v>388</v>
      </c>
      <c r="D30" s="214">
        <f>CALCULOS!$C$9</f>
        <v>6</v>
      </c>
      <c r="E30" s="215">
        <v>750.0</v>
      </c>
      <c r="F30" s="216">
        <f t="shared" si="2"/>
        <v>4500</v>
      </c>
      <c r="G30" s="226"/>
      <c r="H30" s="209"/>
      <c r="I30" s="182"/>
      <c r="J30" s="182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</row>
    <row r="31">
      <c r="A31" s="211"/>
      <c r="B31" s="218" t="s">
        <v>393</v>
      </c>
      <c r="C31" s="213" t="s">
        <v>388</v>
      </c>
      <c r="D31" s="214">
        <f>CALCULOS!$C$9</f>
        <v>6</v>
      </c>
      <c r="E31" s="215">
        <v>390.0</v>
      </c>
      <c r="F31" s="216">
        <f t="shared" si="2"/>
        <v>2340</v>
      </c>
      <c r="G31" s="226"/>
      <c r="H31" s="209"/>
      <c r="I31" s="182"/>
      <c r="J31" s="182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</row>
    <row r="32">
      <c r="A32" s="219"/>
      <c r="B32" s="220" t="s">
        <v>394</v>
      </c>
      <c r="C32" s="221" t="s">
        <v>388</v>
      </c>
      <c r="D32" s="214">
        <f>CALCULOS!$C$9</f>
        <v>6</v>
      </c>
      <c r="E32" s="222">
        <v>30.0</v>
      </c>
      <c r="F32" s="216">
        <f t="shared" si="2"/>
        <v>180</v>
      </c>
      <c r="G32" s="226"/>
      <c r="H32" s="209"/>
      <c r="I32" s="182"/>
      <c r="J32" s="182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</row>
    <row r="33">
      <c r="A33" s="219"/>
      <c r="B33" s="220" t="s">
        <v>395</v>
      </c>
      <c r="C33" s="221" t="s">
        <v>388</v>
      </c>
      <c r="D33" s="214">
        <f>CALCULOS!$C$9</f>
        <v>6</v>
      </c>
      <c r="E33" s="222">
        <v>3000.0</v>
      </c>
      <c r="F33" s="216">
        <f t="shared" si="2"/>
        <v>18000</v>
      </c>
      <c r="G33" s="226"/>
      <c r="H33" s="209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</row>
    <row r="34">
      <c r="A34" s="219"/>
      <c r="B34" s="220" t="s">
        <v>396</v>
      </c>
      <c r="C34" s="221" t="s">
        <v>388</v>
      </c>
      <c r="D34" s="214">
        <f>CALCULOS!$C$9</f>
        <v>6</v>
      </c>
      <c r="E34" s="222">
        <v>1500.0</v>
      </c>
      <c r="F34" s="216">
        <f t="shared" si="2"/>
        <v>9000</v>
      </c>
      <c r="G34" s="226"/>
      <c r="H34" s="209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</row>
    <row r="35">
      <c r="A35" s="219"/>
      <c r="B35" s="220" t="s">
        <v>397</v>
      </c>
      <c r="C35" s="221" t="s">
        <v>388</v>
      </c>
      <c r="D35" s="214">
        <f>CALCULOS!$C$9</f>
        <v>6</v>
      </c>
      <c r="E35" s="222">
        <v>3248.0</v>
      </c>
      <c r="F35" s="216">
        <f t="shared" si="2"/>
        <v>19488</v>
      </c>
      <c r="G35" s="226"/>
      <c r="H35" s="209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</row>
    <row r="36">
      <c r="A36" s="219"/>
      <c r="B36" s="220" t="s">
        <v>398</v>
      </c>
      <c r="C36" s="221" t="s">
        <v>388</v>
      </c>
      <c r="D36" s="214">
        <f>CALCULOS!$C$9</f>
        <v>6</v>
      </c>
      <c r="E36" s="222">
        <v>3250.0</v>
      </c>
      <c r="F36" s="216">
        <f t="shared" si="2"/>
        <v>19500</v>
      </c>
      <c r="G36" s="226"/>
      <c r="H36" s="209"/>
      <c r="I36" s="182"/>
      <c r="J36" s="182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</row>
    <row r="37">
      <c r="A37" s="219"/>
      <c r="B37" s="220" t="s">
        <v>399</v>
      </c>
      <c r="C37" s="221" t="s">
        <v>388</v>
      </c>
      <c r="D37" s="214">
        <f>CALCULOS!$C$9</f>
        <v>6</v>
      </c>
      <c r="E37" s="222">
        <v>572.5</v>
      </c>
      <c r="F37" s="216">
        <f t="shared" si="2"/>
        <v>3435</v>
      </c>
      <c r="G37" s="226"/>
      <c r="H37" s="209"/>
      <c r="I37" s="182"/>
      <c r="J37" s="182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</row>
    <row r="38">
      <c r="A38" s="219"/>
      <c r="B38" s="220" t="s">
        <v>400</v>
      </c>
      <c r="C38" s="221" t="s">
        <v>388</v>
      </c>
      <c r="D38" s="214">
        <f>CALCULOS!$C$9</f>
        <v>6</v>
      </c>
      <c r="E38" s="222">
        <v>225.0</v>
      </c>
      <c r="F38" s="216">
        <f t="shared" si="2"/>
        <v>1350</v>
      </c>
      <c r="G38" s="226"/>
      <c r="H38" s="209"/>
      <c r="I38" s="182"/>
      <c r="J38" s="182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</row>
    <row r="39">
      <c r="A39" s="219"/>
      <c r="B39" s="220" t="s">
        <v>401</v>
      </c>
      <c r="C39" s="221" t="s">
        <v>388</v>
      </c>
      <c r="D39" s="214">
        <f>CALCULOS!$C$9</f>
        <v>6</v>
      </c>
      <c r="E39" s="222">
        <v>347.5</v>
      </c>
      <c r="F39" s="216">
        <f t="shared" si="2"/>
        <v>2085</v>
      </c>
      <c r="G39" s="226"/>
      <c r="H39" s="209"/>
      <c r="I39" s="182"/>
      <c r="J39" s="182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</row>
    <row r="40">
      <c r="A40" s="219"/>
      <c r="B40" s="220" t="s">
        <v>402</v>
      </c>
      <c r="C40" s="221" t="s">
        <v>388</v>
      </c>
      <c r="D40" s="214">
        <f>CALCULOS!$C$9</f>
        <v>6</v>
      </c>
      <c r="E40" s="222">
        <v>122.5</v>
      </c>
      <c r="F40" s="216">
        <f t="shared" si="2"/>
        <v>735</v>
      </c>
      <c r="G40" s="226"/>
      <c r="H40" s="209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</row>
    <row r="41">
      <c r="A41" s="219"/>
      <c r="B41" s="220" t="s">
        <v>403</v>
      </c>
      <c r="C41" s="221" t="s">
        <v>388</v>
      </c>
      <c r="D41" s="214">
        <f>CALCULOS!$C$9</f>
        <v>6</v>
      </c>
      <c r="E41" s="222">
        <v>75.0</v>
      </c>
      <c r="F41" s="216">
        <f t="shared" si="2"/>
        <v>450</v>
      </c>
      <c r="G41" s="226"/>
      <c r="H41" s="209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</row>
    <row r="42">
      <c r="A42" s="200">
        <v>3.0</v>
      </c>
      <c r="B42" s="201" t="s">
        <v>406</v>
      </c>
      <c r="C42" s="203"/>
      <c r="D42" s="203"/>
      <c r="E42" s="224"/>
      <c r="F42" s="205"/>
      <c r="G42" s="208">
        <f>SUM(F43:F58)</f>
        <v>0</v>
      </c>
      <c r="H42" s="209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</row>
    <row r="43">
      <c r="A43" s="211"/>
      <c r="B43" s="225" t="s">
        <v>405</v>
      </c>
      <c r="C43" s="213" t="s">
        <v>388</v>
      </c>
      <c r="D43" s="214">
        <f>CALCULOS!$B$2/2</f>
        <v>0</v>
      </c>
      <c r="E43" s="215">
        <v>290.0</v>
      </c>
      <c r="F43" s="216">
        <f t="shared" ref="F43:F58" si="3">D43*E43</f>
        <v>0</v>
      </c>
      <c r="G43" s="217"/>
      <c r="H43" s="194"/>
      <c r="I43" s="182"/>
      <c r="J43" s="182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</row>
    <row r="44">
      <c r="A44" s="211"/>
      <c r="B44" s="218" t="s">
        <v>389</v>
      </c>
      <c r="C44" s="213" t="s">
        <v>388</v>
      </c>
      <c r="D44" s="214">
        <f>CALCULOS!$C$2</f>
        <v>0</v>
      </c>
      <c r="E44" s="215">
        <v>400.0</v>
      </c>
      <c r="F44" s="216">
        <f t="shared" si="3"/>
        <v>0</v>
      </c>
      <c r="G44" s="217"/>
      <c r="H44" s="194"/>
      <c r="I44" s="182"/>
      <c r="J44" s="182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</row>
    <row r="45">
      <c r="A45" s="211"/>
      <c r="B45" s="218" t="s">
        <v>390</v>
      </c>
      <c r="C45" s="213" t="s">
        <v>388</v>
      </c>
      <c r="D45" s="214">
        <f>CALCULOS!$C$2</f>
        <v>0</v>
      </c>
      <c r="E45" s="215">
        <v>95.0</v>
      </c>
      <c r="F45" s="216">
        <f t="shared" si="3"/>
        <v>0</v>
      </c>
      <c r="G45" s="217"/>
      <c r="H45" s="209"/>
      <c r="I45" s="182"/>
      <c r="J45" s="182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</row>
    <row r="46">
      <c r="A46" s="211"/>
      <c r="B46" s="218" t="s">
        <v>391</v>
      </c>
      <c r="C46" s="213" t="s">
        <v>388</v>
      </c>
      <c r="D46" s="214">
        <f>CALCULOS!$C$2</f>
        <v>0</v>
      </c>
      <c r="E46" s="215">
        <v>750.0</v>
      </c>
      <c r="F46" s="216">
        <f t="shared" si="3"/>
        <v>0</v>
      </c>
      <c r="G46" s="217"/>
      <c r="H46" s="209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</row>
    <row r="47">
      <c r="A47" s="211"/>
      <c r="B47" s="218" t="s">
        <v>392</v>
      </c>
      <c r="C47" s="213" t="s">
        <v>388</v>
      </c>
      <c r="D47" s="214">
        <f>CALCULOS!$C$2</f>
        <v>0</v>
      </c>
      <c r="E47" s="215">
        <v>750.0</v>
      </c>
      <c r="F47" s="216">
        <f t="shared" si="3"/>
        <v>0</v>
      </c>
      <c r="G47" s="217"/>
      <c r="H47" s="194"/>
      <c r="I47" s="182"/>
      <c r="J47" s="182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</row>
    <row r="48">
      <c r="A48" s="211"/>
      <c r="B48" s="218" t="s">
        <v>393</v>
      </c>
      <c r="C48" s="213" t="s">
        <v>388</v>
      </c>
      <c r="D48" s="214">
        <f>CALCULOS!$C$2</f>
        <v>0</v>
      </c>
      <c r="E48" s="215">
        <v>390.0</v>
      </c>
      <c r="F48" s="216">
        <f t="shared" si="3"/>
        <v>0</v>
      </c>
      <c r="G48" s="217"/>
      <c r="H48" s="194"/>
      <c r="I48" s="182"/>
      <c r="J48" s="182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</row>
    <row r="49">
      <c r="A49" s="219"/>
      <c r="B49" s="220" t="s">
        <v>394</v>
      </c>
      <c r="C49" s="221" t="s">
        <v>388</v>
      </c>
      <c r="D49" s="214">
        <f>CALCULOS!$C$2</f>
        <v>0</v>
      </c>
      <c r="E49" s="222">
        <v>30.0</v>
      </c>
      <c r="F49" s="216">
        <f t="shared" si="3"/>
        <v>0</v>
      </c>
      <c r="G49" s="217"/>
      <c r="H49" s="223"/>
      <c r="I49" s="182"/>
      <c r="J49" s="182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</row>
    <row r="50">
      <c r="A50" s="219"/>
      <c r="B50" s="220" t="s">
        <v>395</v>
      </c>
      <c r="C50" s="221" t="s">
        <v>388</v>
      </c>
      <c r="D50" s="214">
        <f>CALCULOS!$C$2</f>
        <v>0</v>
      </c>
      <c r="E50" s="222">
        <v>3000.0</v>
      </c>
      <c r="F50" s="216">
        <f t="shared" si="3"/>
        <v>0</v>
      </c>
      <c r="G50" s="217"/>
      <c r="H50" s="223"/>
      <c r="I50" s="182"/>
      <c r="J50" s="182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</row>
    <row r="51">
      <c r="A51" s="219"/>
      <c r="B51" s="220" t="s">
        <v>396</v>
      </c>
      <c r="C51" s="221" t="s">
        <v>388</v>
      </c>
      <c r="D51" s="214">
        <f>CALCULOS!$C$2</f>
        <v>0</v>
      </c>
      <c r="E51" s="222">
        <v>1500.0</v>
      </c>
      <c r="F51" s="216">
        <f t="shared" si="3"/>
        <v>0</v>
      </c>
      <c r="G51" s="217"/>
      <c r="H51" s="223"/>
      <c r="I51" s="182"/>
      <c r="J51" s="182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</row>
    <row r="52">
      <c r="A52" s="219"/>
      <c r="B52" s="220" t="s">
        <v>397</v>
      </c>
      <c r="C52" s="221" t="s">
        <v>388</v>
      </c>
      <c r="D52" s="214">
        <f>CALCULOS!$C$2</f>
        <v>0</v>
      </c>
      <c r="E52" s="222">
        <v>3248.0</v>
      </c>
      <c r="F52" s="216">
        <f t="shared" si="3"/>
        <v>0</v>
      </c>
      <c r="G52" s="217"/>
      <c r="H52" s="223"/>
      <c r="I52" s="182"/>
      <c r="J52" s="182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</row>
    <row r="53">
      <c r="A53" s="219"/>
      <c r="B53" s="220" t="s">
        <v>398</v>
      </c>
      <c r="C53" s="221" t="s">
        <v>388</v>
      </c>
      <c r="D53" s="214">
        <f>CALCULOS!$C$2</f>
        <v>0</v>
      </c>
      <c r="E53" s="222">
        <v>3250.0</v>
      </c>
      <c r="F53" s="216">
        <f t="shared" si="3"/>
        <v>0</v>
      </c>
      <c r="G53" s="217"/>
      <c r="H53" s="223"/>
      <c r="I53" s="182"/>
      <c r="J53" s="182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</row>
    <row r="54">
      <c r="A54" s="219"/>
      <c r="B54" s="220" t="s">
        <v>399</v>
      </c>
      <c r="C54" s="221" t="s">
        <v>388</v>
      </c>
      <c r="D54" s="214">
        <f>CALCULOS!$C$2</f>
        <v>0</v>
      </c>
      <c r="E54" s="222">
        <v>572.5</v>
      </c>
      <c r="F54" s="216">
        <f t="shared" si="3"/>
        <v>0</v>
      </c>
      <c r="G54" s="232"/>
      <c r="H54" s="223"/>
      <c r="I54" s="182"/>
      <c r="J54" s="182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</row>
    <row r="55">
      <c r="A55" s="219"/>
      <c r="B55" s="220" t="s">
        <v>400</v>
      </c>
      <c r="C55" s="221" t="s">
        <v>388</v>
      </c>
      <c r="D55" s="214">
        <f>CALCULOS!$C$2</f>
        <v>0</v>
      </c>
      <c r="E55" s="222">
        <v>225.0</v>
      </c>
      <c r="F55" s="216">
        <f t="shared" si="3"/>
        <v>0</v>
      </c>
      <c r="G55" s="232"/>
      <c r="H55" s="223"/>
      <c r="I55" s="182"/>
      <c r="J55" s="182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</row>
    <row r="56">
      <c r="A56" s="219"/>
      <c r="B56" s="220" t="s">
        <v>401</v>
      </c>
      <c r="C56" s="221" t="s">
        <v>388</v>
      </c>
      <c r="D56" s="214">
        <f>CALCULOS!$C$2</f>
        <v>0</v>
      </c>
      <c r="E56" s="222">
        <v>347.5</v>
      </c>
      <c r="F56" s="216">
        <f t="shared" si="3"/>
        <v>0</v>
      </c>
      <c r="G56" s="232"/>
      <c r="H56" s="223"/>
      <c r="I56" s="182"/>
      <c r="J56" s="182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</row>
    <row r="57">
      <c r="A57" s="219"/>
      <c r="B57" s="220" t="s">
        <v>402</v>
      </c>
      <c r="C57" s="221" t="s">
        <v>388</v>
      </c>
      <c r="D57" s="214">
        <f>CALCULOS!$C$2</f>
        <v>0</v>
      </c>
      <c r="E57" s="222">
        <v>122.5</v>
      </c>
      <c r="F57" s="216">
        <f t="shared" si="3"/>
        <v>0</v>
      </c>
      <c r="G57" s="232"/>
      <c r="H57" s="223"/>
      <c r="I57" s="182"/>
      <c r="J57" s="182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</row>
    <row r="58">
      <c r="A58" s="219"/>
      <c r="B58" s="220" t="s">
        <v>403</v>
      </c>
      <c r="C58" s="221" t="s">
        <v>388</v>
      </c>
      <c r="D58" s="214">
        <f>CALCULOS!$C$2</f>
        <v>0</v>
      </c>
      <c r="E58" s="222">
        <v>75.0</v>
      </c>
      <c r="F58" s="216">
        <f t="shared" si="3"/>
        <v>0</v>
      </c>
      <c r="G58" s="232"/>
      <c r="H58" s="223"/>
      <c r="I58" s="182"/>
      <c r="J58" s="182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</row>
    <row r="59">
      <c r="A59" s="200">
        <v>4.0</v>
      </c>
      <c r="B59" s="201" t="s">
        <v>83</v>
      </c>
      <c r="C59" s="203"/>
      <c r="D59" s="203"/>
      <c r="E59" s="235"/>
      <c r="F59" s="205"/>
      <c r="G59" s="208">
        <f>SUM(F60:F78)</f>
        <v>57714.5</v>
      </c>
      <c r="H59" s="209"/>
      <c r="I59" s="182"/>
      <c r="J59" s="182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</row>
    <row r="60">
      <c r="A60" s="211"/>
      <c r="B60" s="218" t="s">
        <v>389</v>
      </c>
      <c r="C60" s="213" t="s">
        <v>388</v>
      </c>
      <c r="D60" s="214">
        <f>CALCULOS!C33</f>
        <v>1</v>
      </c>
      <c r="E60" s="215">
        <v>400.0</v>
      </c>
      <c r="F60" s="216">
        <f t="shared" ref="F60:F78" si="4">D60*E60</f>
        <v>400</v>
      </c>
      <c r="G60" s="217"/>
      <c r="H60" s="194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</row>
    <row r="61">
      <c r="A61" s="211"/>
      <c r="B61" s="218" t="s">
        <v>410</v>
      </c>
      <c r="C61" s="213" t="s">
        <v>388</v>
      </c>
      <c r="D61" s="214">
        <f>2*D60</f>
        <v>2</v>
      </c>
      <c r="E61" s="215">
        <v>480.0</v>
      </c>
      <c r="F61" s="216">
        <f t="shared" si="4"/>
        <v>960</v>
      </c>
      <c r="G61" s="217"/>
      <c r="H61" s="194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</row>
    <row r="62">
      <c r="A62" s="211"/>
      <c r="B62" s="218" t="s">
        <v>390</v>
      </c>
      <c r="C62" s="213" t="s">
        <v>388</v>
      </c>
      <c r="D62" s="214">
        <f>CALCULOS!B33/1.15*CALCULOS!C33</f>
        <v>150</v>
      </c>
      <c r="E62" s="215">
        <v>95.0</v>
      </c>
      <c r="F62" s="216">
        <f t="shared" si="4"/>
        <v>14250</v>
      </c>
      <c r="G62" s="217"/>
      <c r="H62" s="194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</row>
    <row r="63">
      <c r="A63" s="211"/>
      <c r="B63" s="218" t="s">
        <v>411</v>
      </c>
      <c r="C63" s="213" t="s">
        <v>388</v>
      </c>
      <c r="D63" s="214">
        <f>6*D60</f>
        <v>6</v>
      </c>
      <c r="E63" s="222">
        <v>65.0</v>
      </c>
      <c r="F63" s="216">
        <f t="shared" si="4"/>
        <v>390</v>
      </c>
      <c r="G63" s="236"/>
      <c r="H63" s="237"/>
      <c r="I63" s="182"/>
      <c r="J63" s="182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</row>
    <row r="64">
      <c r="A64" s="211"/>
      <c r="B64" s="218" t="s">
        <v>413</v>
      </c>
      <c r="C64" s="213" t="s">
        <v>388</v>
      </c>
      <c r="D64" s="214">
        <f>2*D60</f>
        <v>2</v>
      </c>
      <c r="E64" s="215">
        <v>775.0</v>
      </c>
      <c r="F64" s="216">
        <f t="shared" si="4"/>
        <v>1550</v>
      </c>
      <c r="G64" s="217"/>
      <c r="H64" s="209"/>
      <c r="I64" s="182"/>
      <c r="J64" s="182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</row>
    <row r="65">
      <c r="A65" s="211"/>
      <c r="B65" s="218" t="s">
        <v>414</v>
      </c>
      <c r="C65" s="213" t="s">
        <v>415</v>
      </c>
      <c r="D65" s="214">
        <f>60*D60</f>
        <v>60</v>
      </c>
      <c r="E65" s="215">
        <v>380.0</v>
      </c>
      <c r="F65" s="216">
        <f t="shared" si="4"/>
        <v>22800</v>
      </c>
      <c r="G65" s="217"/>
      <c r="H65" s="194"/>
      <c r="I65" s="182"/>
      <c r="J65" s="182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</row>
    <row r="66">
      <c r="A66" s="211"/>
      <c r="B66" s="220" t="s">
        <v>416</v>
      </c>
      <c r="C66" s="213" t="s">
        <v>388</v>
      </c>
      <c r="D66" s="214">
        <f t="shared" ref="D66:D78" si="5">1*$D$60</f>
        <v>1</v>
      </c>
      <c r="E66" s="215">
        <v>3000.0</v>
      </c>
      <c r="F66" s="216">
        <f t="shared" si="4"/>
        <v>3000</v>
      </c>
      <c r="G66" s="217"/>
      <c r="H66" s="194"/>
      <c r="I66" s="182"/>
      <c r="J66" s="182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</row>
    <row r="67">
      <c r="A67" s="211"/>
      <c r="B67" s="218" t="s">
        <v>417</v>
      </c>
      <c r="C67" s="213" t="s">
        <v>388</v>
      </c>
      <c r="D67" s="214">
        <f t="shared" si="5"/>
        <v>1</v>
      </c>
      <c r="E67" s="215">
        <v>179.0</v>
      </c>
      <c r="F67" s="216">
        <f t="shared" si="4"/>
        <v>179</v>
      </c>
      <c r="G67" s="217"/>
      <c r="H67" s="194"/>
      <c r="I67" s="182"/>
      <c r="J67" s="182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</row>
    <row r="68">
      <c r="A68" s="211"/>
      <c r="B68" s="220" t="s">
        <v>419</v>
      </c>
      <c r="C68" s="213" t="s">
        <v>388</v>
      </c>
      <c r="D68" s="214">
        <f t="shared" si="5"/>
        <v>1</v>
      </c>
      <c r="E68" s="215">
        <v>3750.0</v>
      </c>
      <c r="F68" s="216">
        <f t="shared" si="4"/>
        <v>3750</v>
      </c>
      <c r="G68" s="217"/>
      <c r="H68" s="194"/>
      <c r="I68" s="182"/>
      <c r="J68" s="182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</row>
    <row r="69">
      <c r="A69" s="211"/>
      <c r="B69" s="218" t="s">
        <v>422</v>
      </c>
      <c r="C69" s="213" t="s">
        <v>388</v>
      </c>
      <c r="D69" s="214">
        <f t="shared" si="5"/>
        <v>1</v>
      </c>
      <c r="E69" s="215">
        <v>1500.0</v>
      </c>
      <c r="F69" s="216">
        <f t="shared" si="4"/>
        <v>1500</v>
      </c>
      <c r="G69" s="217"/>
      <c r="H69" s="194"/>
      <c r="I69" s="182"/>
      <c r="J69" s="182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</row>
    <row r="70">
      <c r="A70" s="211"/>
      <c r="B70" s="218" t="s">
        <v>397</v>
      </c>
      <c r="C70" s="213" t="s">
        <v>388</v>
      </c>
      <c r="D70" s="214">
        <f t="shared" si="5"/>
        <v>1</v>
      </c>
      <c r="E70" s="222">
        <v>3248.0</v>
      </c>
      <c r="F70" s="216">
        <f t="shared" si="4"/>
        <v>3248</v>
      </c>
      <c r="G70" s="217"/>
      <c r="H70" s="194"/>
      <c r="I70" s="182"/>
      <c r="J70" s="182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</row>
    <row r="71">
      <c r="A71" s="211"/>
      <c r="B71" s="220" t="s">
        <v>426</v>
      </c>
      <c r="C71" s="221" t="s">
        <v>388</v>
      </c>
      <c r="D71" s="214">
        <f t="shared" si="5"/>
        <v>1</v>
      </c>
      <c r="E71" s="222">
        <v>3250.0</v>
      </c>
      <c r="F71" s="216">
        <f t="shared" si="4"/>
        <v>3250</v>
      </c>
      <c r="G71" s="217"/>
      <c r="H71" s="194"/>
      <c r="I71" s="182"/>
      <c r="J71" s="182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</row>
    <row r="72">
      <c r="A72" s="211"/>
      <c r="B72" s="220" t="s">
        <v>427</v>
      </c>
      <c r="C72" s="221" t="s">
        <v>388</v>
      </c>
      <c r="D72" s="214">
        <f t="shared" si="5"/>
        <v>1</v>
      </c>
      <c r="E72" s="222">
        <v>572.5</v>
      </c>
      <c r="F72" s="216">
        <f t="shared" si="4"/>
        <v>572.5</v>
      </c>
      <c r="G72" s="217"/>
      <c r="H72" s="194"/>
      <c r="I72" s="182"/>
      <c r="J72" s="182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</row>
    <row r="73">
      <c r="A73" s="211"/>
      <c r="B73" s="220" t="s">
        <v>400</v>
      </c>
      <c r="C73" s="221" t="s">
        <v>388</v>
      </c>
      <c r="D73" s="214">
        <f t="shared" si="5"/>
        <v>1</v>
      </c>
      <c r="E73" s="222">
        <v>225.0</v>
      </c>
      <c r="F73" s="216">
        <f t="shared" si="4"/>
        <v>225</v>
      </c>
      <c r="G73" s="217"/>
      <c r="H73" s="194"/>
      <c r="I73" s="182"/>
      <c r="J73" s="182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</row>
    <row r="74">
      <c r="A74" s="211"/>
      <c r="B74" s="220" t="s">
        <v>401</v>
      </c>
      <c r="C74" s="221" t="s">
        <v>388</v>
      </c>
      <c r="D74" s="214">
        <f t="shared" si="5"/>
        <v>1</v>
      </c>
      <c r="E74" s="222">
        <v>347.5</v>
      </c>
      <c r="F74" s="216">
        <f t="shared" si="4"/>
        <v>347.5</v>
      </c>
      <c r="G74" s="217"/>
      <c r="H74" s="194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</row>
    <row r="75">
      <c r="A75" s="211"/>
      <c r="B75" s="220" t="s">
        <v>402</v>
      </c>
      <c r="C75" s="221" t="s">
        <v>388</v>
      </c>
      <c r="D75" s="214">
        <f t="shared" si="5"/>
        <v>1</v>
      </c>
      <c r="E75" s="222">
        <v>122.5</v>
      </c>
      <c r="F75" s="216">
        <f t="shared" si="4"/>
        <v>122.5</v>
      </c>
      <c r="G75" s="217"/>
      <c r="H75" s="194"/>
      <c r="I75" s="182"/>
      <c r="J75" s="182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</row>
    <row r="76">
      <c r="A76" s="211"/>
      <c r="B76" s="220" t="s">
        <v>428</v>
      </c>
      <c r="C76" s="221" t="s">
        <v>388</v>
      </c>
      <c r="D76" s="214">
        <f t="shared" si="5"/>
        <v>1</v>
      </c>
      <c r="E76" s="222">
        <v>925.0</v>
      </c>
      <c r="F76" s="216">
        <f t="shared" si="4"/>
        <v>925</v>
      </c>
      <c r="G76" s="217"/>
      <c r="H76" s="194"/>
      <c r="I76" s="182"/>
      <c r="J76" s="182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</row>
    <row r="77">
      <c r="A77" s="211"/>
      <c r="B77" s="220" t="s">
        <v>429</v>
      </c>
      <c r="C77" s="221" t="s">
        <v>388</v>
      </c>
      <c r="D77" s="214">
        <f t="shared" si="5"/>
        <v>1</v>
      </c>
      <c r="E77" s="222">
        <v>150.0</v>
      </c>
      <c r="F77" s="216">
        <f t="shared" si="4"/>
        <v>150</v>
      </c>
      <c r="G77" s="217"/>
      <c r="H77" s="194"/>
      <c r="I77" s="182"/>
      <c r="J77" s="182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</row>
    <row r="78">
      <c r="A78" s="211"/>
      <c r="B78" s="220" t="s">
        <v>430</v>
      </c>
      <c r="C78" s="221" t="s">
        <v>388</v>
      </c>
      <c r="D78" s="214">
        <f t="shared" si="5"/>
        <v>1</v>
      </c>
      <c r="E78" s="222">
        <v>95.0</v>
      </c>
      <c r="F78" s="216">
        <f t="shared" si="4"/>
        <v>95</v>
      </c>
      <c r="G78" s="217"/>
      <c r="H78" s="194"/>
      <c r="I78" s="182"/>
      <c r="J78" s="182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</row>
    <row r="79">
      <c r="A79" s="200">
        <v>5.0</v>
      </c>
      <c r="B79" s="201" t="s">
        <v>431</v>
      </c>
      <c r="C79" s="203"/>
      <c r="D79" s="243"/>
      <c r="E79" s="235"/>
      <c r="F79" s="205"/>
      <c r="G79" s="208">
        <f>SUM(F80:F87)</f>
        <v>3650</v>
      </c>
      <c r="H79" s="194"/>
      <c r="I79" s="182"/>
      <c r="J79" s="182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</row>
    <row r="80">
      <c r="A80" s="211"/>
      <c r="B80" s="218" t="s">
        <v>432</v>
      </c>
      <c r="C80" s="213" t="s">
        <v>388</v>
      </c>
      <c r="D80" s="214">
        <f>CALCULOS!$C$34</f>
        <v>1</v>
      </c>
      <c r="E80" s="215">
        <v>1500.0</v>
      </c>
      <c r="F80" s="216">
        <f t="shared" ref="F80:F87" si="6">D80*E80</f>
        <v>1500</v>
      </c>
      <c r="G80" s="217"/>
      <c r="H80" s="194"/>
      <c r="I80" s="182"/>
      <c r="J80" s="182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</row>
    <row r="81">
      <c r="A81" s="211"/>
      <c r="B81" s="218" t="s">
        <v>433</v>
      </c>
      <c r="C81" s="213" t="s">
        <v>415</v>
      </c>
      <c r="D81" s="214">
        <f>CALCULOS!$C$34</f>
        <v>1</v>
      </c>
      <c r="E81" s="215">
        <v>150.0</v>
      </c>
      <c r="F81" s="216">
        <f t="shared" si="6"/>
        <v>150</v>
      </c>
      <c r="G81" s="217"/>
      <c r="H81" s="194"/>
      <c r="I81" s="182"/>
      <c r="J81" s="182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</row>
    <row r="82">
      <c r="A82" s="219"/>
      <c r="B82" s="220" t="s">
        <v>434</v>
      </c>
      <c r="C82" s="221" t="s">
        <v>415</v>
      </c>
      <c r="D82" s="214">
        <f>CALCULOS!$C$34</f>
        <v>1</v>
      </c>
      <c r="E82" s="222">
        <v>700.0</v>
      </c>
      <c r="F82" s="216">
        <f t="shared" si="6"/>
        <v>700</v>
      </c>
      <c r="G82" s="232"/>
      <c r="H82" s="223"/>
      <c r="I82" s="182"/>
      <c r="J82" s="182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</row>
    <row r="83">
      <c r="A83" s="211"/>
      <c r="B83" s="218" t="s">
        <v>435</v>
      </c>
      <c r="C83" s="213" t="s">
        <v>388</v>
      </c>
      <c r="D83" s="214">
        <f>CALCULOS!$C$34</f>
        <v>1</v>
      </c>
      <c r="E83" s="215">
        <v>300.0</v>
      </c>
      <c r="F83" s="216">
        <f t="shared" si="6"/>
        <v>300</v>
      </c>
      <c r="G83" s="217"/>
      <c r="H83" s="194"/>
      <c r="I83" s="182"/>
      <c r="J83" s="182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</row>
    <row r="84">
      <c r="A84" s="211"/>
      <c r="B84" s="218" t="s">
        <v>436</v>
      </c>
      <c r="C84" s="213" t="s">
        <v>388</v>
      </c>
      <c r="D84" s="214">
        <f>CALCULOS!$C$34</f>
        <v>1</v>
      </c>
      <c r="E84" s="215">
        <v>150.0</v>
      </c>
      <c r="F84" s="216">
        <f t="shared" si="6"/>
        <v>150</v>
      </c>
      <c r="G84" s="217"/>
      <c r="H84" s="194"/>
      <c r="I84" s="182"/>
      <c r="J84" s="182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</row>
    <row r="85">
      <c r="A85" s="211"/>
      <c r="B85" s="218" t="s">
        <v>437</v>
      </c>
      <c r="C85" s="213" t="s">
        <v>388</v>
      </c>
      <c r="D85" s="214">
        <f>CALCULOS!$C$34</f>
        <v>1</v>
      </c>
      <c r="E85" s="215">
        <v>250.0</v>
      </c>
      <c r="F85" s="216">
        <f t="shared" si="6"/>
        <v>250</v>
      </c>
      <c r="G85" s="217"/>
      <c r="H85" s="194"/>
      <c r="I85" s="182"/>
      <c r="J85" s="182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</row>
    <row r="86">
      <c r="A86" s="211"/>
      <c r="B86" s="218" t="s">
        <v>438</v>
      </c>
      <c r="C86" s="213" t="s">
        <v>388</v>
      </c>
      <c r="D86" s="214">
        <f>CALCULOS!$C$34</f>
        <v>1</v>
      </c>
      <c r="E86" s="215">
        <v>300.0</v>
      </c>
      <c r="F86" s="216">
        <f t="shared" si="6"/>
        <v>300</v>
      </c>
      <c r="G86" s="217"/>
      <c r="H86" s="194"/>
      <c r="I86" s="182"/>
      <c r="J86" s="182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</row>
    <row r="87">
      <c r="A87" s="211"/>
      <c r="B87" s="218" t="s">
        <v>439</v>
      </c>
      <c r="C87" s="213" t="s">
        <v>388</v>
      </c>
      <c r="D87" s="214">
        <f>2*CALCULOS!C34</f>
        <v>2</v>
      </c>
      <c r="E87" s="215">
        <v>150.0</v>
      </c>
      <c r="F87" s="216">
        <f t="shared" si="6"/>
        <v>300</v>
      </c>
      <c r="G87" s="217"/>
      <c r="H87" s="194"/>
      <c r="I87" s="182"/>
      <c r="J87" s="182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</row>
    <row r="88">
      <c r="A88" s="244">
        <v>6.0</v>
      </c>
      <c r="B88" s="245" t="s">
        <v>440</v>
      </c>
      <c r="C88" s="246"/>
      <c r="D88" s="246"/>
      <c r="E88" s="247"/>
      <c r="F88" s="248"/>
      <c r="G88" s="208">
        <f>SUM(F89:F94)</f>
        <v>5540</v>
      </c>
      <c r="H88" s="194"/>
      <c r="I88" s="182"/>
      <c r="J88" s="182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</row>
    <row r="89">
      <c r="A89" s="219"/>
      <c r="B89" s="220" t="s">
        <v>441</v>
      </c>
      <c r="C89" s="221" t="s">
        <v>388</v>
      </c>
      <c r="D89" s="249">
        <f>CALCULOS!$C$24</f>
        <v>1</v>
      </c>
      <c r="E89" s="222">
        <v>600.0</v>
      </c>
      <c r="F89" s="250">
        <f t="shared" ref="F89:F94" si="7">D89*E89</f>
        <v>600</v>
      </c>
      <c r="G89" s="217"/>
      <c r="H89" s="194"/>
      <c r="I89" s="182"/>
      <c r="J89" s="182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</row>
    <row r="90">
      <c r="A90" s="219"/>
      <c r="B90" s="220" t="s">
        <v>394</v>
      </c>
      <c r="C90" s="221" t="s">
        <v>388</v>
      </c>
      <c r="D90" s="249">
        <f>CALCULOS!$C$24</f>
        <v>1</v>
      </c>
      <c r="E90" s="222">
        <v>30.0</v>
      </c>
      <c r="F90" s="250">
        <f t="shared" si="7"/>
        <v>30</v>
      </c>
      <c r="G90" s="217"/>
      <c r="H90" s="194"/>
      <c r="I90" s="182"/>
      <c r="J90" s="182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</row>
    <row r="91">
      <c r="A91" s="219"/>
      <c r="B91" s="218" t="s">
        <v>411</v>
      </c>
      <c r="C91" s="221" t="s">
        <v>388</v>
      </c>
      <c r="D91" s="249">
        <f>4*D89</f>
        <v>4</v>
      </c>
      <c r="E91" s="222">
        <v>65.0</v>
      </c>
      <c r="F91" s="250">
        <f t="shared" si="7"/>
        <v>260</v>
      </c>
      <c r="G91" s="217"/>
      <c r="H91" s="194"/>
      <c r="I91" s="182"/>
      <c r="J91" s="182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</row>
    <row r="92">
      <c r="A92" s="219"/>
      <c r="B92" s="220" t="s">
        <v>442</v>
      </c>
      <c r="C92" s="221" t="s">
        <v>388</v>
      </c>
      <c r="D92" s="249">
        <f>CALCULOS!$C$24</f>
        <v>1</v>
      </c>
      <c r="E92" s="222">
        <v>1200.0</v>
      </c>
      <c r="F92" s="250">
        <f t="shared" si="7"/>
        <v>1200</v>
      </c>
      <c r="G92" s="217"/>
      <c r="H92" s="194"/>
      <c r="I92" s="182"/>
      <c r="J92" s="182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</row>
    <row r="93">
      <c r="A93" s="219"/>
      <c r="B93" s="220" t="s">
        <v>443</v>
      </c>
      <c r="C93" s="221" t="s">
        <v>388</v>
      </c>
      <c r="D93" s="249">
        <f>CALCULOS!$C$24</f>
        <v>1</v>
      </c>
      <c r="E93" s="222">
        <v>1700.0</v>
      </c>
      <c r="F93" s="250">
        <f t="shared" si="7"/>
        <v>1700</v>
      </c>
      <c r="G93" s="217"/>
      <c r="H93" s="194"/>
      <c r="I93" s="182"/>
      <c r="J93" s="182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</row>
    <row r="94">
      <c r="A94" s="219"/>
      <c r="B94" s="220" t="s">
        <v>444</v>
      </c>
      <c r="C94" s="221" t="s">
        <v>388</v>
      </c>
      <c r="D94" s="249">
        <f>CALCULOS!$C$24</f>
        <v>1</v>
      </c>
      <c r="E94" s="222">
        <v>1750.0</v>
      </c>
      <c r="F94" s="250">
        <f t="shared" si="7"/>
        <v>1750</v>
      </c>
      <c r="G94" s="217"/>
      <c r="H94" s="194"/>
      <c r="I94" s="182"/>
      <c r="J94" s="182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</row>
    <row r="95">
      <c r="A95" s="244">
        <v>7.0</v>
      </c>
      <c r="B95" s="245" t="s">
        <v>445</v>
      </c>
      <c r="C95" s="203"/>
      <c r="D95" s="243"/>
      <c r="E95" s="235"/>
      <c r="F95" s="205"/>
      <c r="G95" s="208">
        <f>SUM(F96:F100)</f>
        <v>2430</v>
      </c>
      <c r="H95" s="194"/>
      <c r="I95" s="182"/>
      <c r="J95" s="182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</row>
    <row r="96">
      <c r="A96" s="251"/>
      <c r="B96" s="220" t="s">
        <v>434</v>
      </c>
      <c r="C96" s="221" t="s">
        <v>415</v>
      </c>
      <c r="D96" s="249">
        <f>CALCULOS!$C$26</f>
        <v>1</v>
      </c>
      <c r="E96" s="222">
        <v>700.0</v>
      </c>
      <c r="F96" s="216">
        <f t="shared" ref="F96:F100" si="8">D96*E96</f>
        <v>700</v>
      </c>
      <c r="G96" s="217"/>
      <c r="H96" s="194"/>
      <c r="I96" s="182"/>
      <c r="J96" s="182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</row>
    <row r="97">
      <c r="A97" s="251"/>
      <c r="B97" s="220" t="s">
        <v>403</v>
      </c>
      <c r="C97" s="221" t="s">
        <v>388</v>
      </c>
      <c r="D97" s="249">
        <f>CALCULOS!$C$26</f>
        <v>1</v>
      </c>
      <c r="E97" s="222">
        <v>75.0</v>
      </c>
      <c r="F97" s="216">
        <f t="shared" si="8"/>
        <v>75</v>
      </c>
      <c r="G97" s="217"/>
      <c r="H97" s="194"/>
      <c r="I97" s="182"/>
      <c r="J97" s="182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</row>
    <row r="98">
      <c r="A98" s="251"/>
      <c r="B98" s="218" t="s">
        <v>411</v>
      </c>
      <c r="C98" s="221" t="s">
        <v>388</v>
      </c>
      <c r="D98" s="249">
        <f>2*CALCULOS!$C$26</f>
        <v>2</v>
      </c>
      <c r="E98" s="222">
        <v>65.0</v>
      </c>
      <c r="F98" s="216">
        <f t="shared" si="8"/>
        <v>130</v>
      </c>
      <c r="G98" s="217"/>
      <c r="H98" s="194"/>
      <c r="I98" s="182"/>
      <c r="J98" s="182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</row>
    <row r="99">
      <c r="A99" s="251"/>
      <c r="B99" s="218" t="s">
        <v>392</v>
      </c>
      <c r="C99" s="213" t="s">
        <v>388</v>
      </c>
      <c r="D99" s="214">
        <f>CALCULOS!$C$26</f>
        <v>1</v>
      </c>
      <c r="E99" s="215">
        <v>750.0</v>
      </c>
      <c r="F99" s="216">
        <f t="shared" si="8"/>
        <v>750</v>
      </c>
      <c r="G99" s="217"/>
      <c r="H99" s="194"/>
      <c r="I99" s="182"/>
      <c r="J99" s="182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</row>
    <row r="100">
      <c r="A100" s="252"/>
      <c r="B100" s="218" t="s">
        <v>413</v>
      </c>
      <c r="C100" s="213" t="s">
        <v>388</v>
      </c>
      <c r="D100" s="214">
        <f>CALCULOS!$C$26</f>
        <v>1</v>
      </c>
      <c r="E100" s="215">
        <v>775.0</v>
      </c>
      <c r="F100" s="216">
        <f t="shared" si="8"/>
        <v>775</v>
      </c>
      <c r="G100" s="232"/>
      <c r="H100" s="253"/>
      <c r="I100" s="182"/>
      <c r="J100" s="182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</row>
    <row r="101">
      <c r="A101" s="200">
        <v>8.0</v>
      </c>
      <c r="B101" s="201" t="s">
        <v>446</v>
      </c>
      <c r="C101" s="203"/>
      <c r="D101" s="243"/>
      <c r="E101" s="235"/>
      <c r="F101" s="205"/>
      <c r="G101" s="208">
        <f>SUM(F102:F108)</f>
        <v>5131.86</v>
      </c>
      <c r="H101" s="194"/>
      <c r="I101" s="182"/>
      <c r="J101" s="182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</row>
    <row r="102">
      <c r="A102" s="211"/>
      <c r="B102" s="218" t="s">
        <v>447</v>
      </c>
      <c r="C102" s="213" t="s">
        <v>388</v>
      </c>
      <c r="D102" s="214">
        <v>2.0</v>
      </c>
      <c r="E102" s="215">
        <v>800.0</v>
      </c>
      <c r="F102" s="216">
        <f t="shared" ref="F102:F108" si="9">D102*E102</f>
        <v>1600</v>
      </c>
      <c r="G102" s="217"/>
      <c r="H102" s="194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</row>
    <row r="103">
      <c r="A103" s="211"/>
      <c r="B103" s="218" t="s">
        <v>448</v>
      </c>
      <c r="C103" s="213" t="s">
        <v>388</v>
      </c>
      <c r="D103" s="214">
        <v>2.0</v>
      </c>
      <c r="E103" s="215">
        <v>1135.93</v>
      </c>
      <c r="F103" s="216">
        <f t="shared" si="9"/>
        <v>2271.86</v>
      </c>
      <c r="G103" s="217"/>
      <c r="H103" s="194"/>
      <c r="I103" s="182"/>
      <c r="J103" s="182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</row>
    <row r="104">
      <c r="A104" s="211"/>
      <c r="B104" s="218" t="s">
        <v>449</v>
      </c>
      <c r="C104" s="213" t="s">
        <v>415</v>
      </c>
      <c r="D104" s="214">
        <v>2.0</v>
      </c>
      <c r="E104" s="215">
        <v>210.0</v>
      </c>
      <c r="F104" s="216">
        <f t="shared" si="9"/>
        <v>420</v>
      </c>
      <c r="G104" s="217"/>
      <c r="H104" s="194"/>
      <c r="I104" s="182"/>
      <c r="J104" s="182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</row>
    <row r="105">
      <c r="A105" s="211"/>
      <c r="B105" s="218" t="s">
        <v>450</v>
      </c>
      <c r="C105" s="213" t="s">
        <v>415</v>
      </c>
      <c r="D105" s="214">
        <v>2.0</v>
      </c>
      <c r="E105" s="215">
        <v>150.0</v>
      </c>
      <c r="F105" s="216">
        <f t="shared" si="9"/>
        <v>300</v>
      </c>
      <c r="G105" s="217"/>
      <c r="H105" s="194"/>
      <c r="I105" s="182"/>
      <c r="J105" s="182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</row>
    <row r="106">
      <c r="A106" s="211"/>
      <c r="B106" s="218" t="s">
        <v>451</v>
      </c>
      <c r="C106" s="213" t="s">
        <v>388</v>
      </c>
      <c r="D106" s="214">
        <v>2.0</v>
      </c>
      <c r="E106" s="215">
        <v>60.0</v>
      </c>
      <c r="F106" s="216">
        <f t="shared" si="9"/>
        <v>120</v>
      </c>
      <c r="G106" s="217"/>
      <c r="H106" s="194"/>
      <c r="I106" s="182"/>
      <c r="J106" s="182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</row>
    <row r="107">
      <c r="A107" s="211"/>
      <c r="B107" s="218" t="s">
        <v>452</v>
      </c>
      <c r="C107" s="213" t="s">
        <v>388</v>
      </c>
      <c r="D107" s="214">
        <v>2.0</v>
      </c>
      <c r="E107" s="215">
        <v>105.0</v>
      </c>
      <c r="F107" s="216">
        <f t="shared" si="9"/>
        <v>210</v>
      </c>
      <c r="G107" s="217"/>
      <c r="H107" s="194"/>
      <c r="I107" s="182"/>
      <c r="J107" s="182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</row>
    <row r="108">
      <c r="A108" s="211"/>
      <c r="B108" s="218" t="s">
        <v>453</v>
      </c>
      <c r="C108" s="213" t="s">
        <v>388</v>
      </c>
      <c r="D108" s="214">
        <v>2.0</v>
      </c>
      <c r="E108" s="215">
        <v>105.0</v>
      </c>
      <c r="F108" s="216">
        <f t="shared" si="9"/>
        <v>210</v>
      </c>
      <c r="G108" s="217"/>
      <c r="H108" s="194"/>
      <c r="I108" s="182"/>
      <c r="J108" s="182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</row>
    <row r="109">
      <c r="A109" s="200">
        <v>9.0</v>
      </c>
      <c r="B109" s="201" t="s">
        <v>454</v>
      </c>
      <c r="C109" s="203"/>
      <c r="D109" s="243"/>
      <c r="E109" s="235"/>
      <c r="F109" s="205"/>
      <c r="G109" s="254">
        <f>SUM(F110:F116)</f>
        <v>20760</v>
      </c>
      <c r="H109" s="194"/>
      <c r="I109" s="182"/>
      <c r="J109" s="182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>
      <c r="A110" s="211"/>
      <c r="B110" s="218" t="s">
        <v>455</v>
      </c>
      <c r="C110" s="213" t="s">
        <v>388</v>
      </c>
      <c r="D110" s="214">
        <f>6*CALCULOS!C10</f>
        <v>6</v>
      </c>
      <c r="E110" s="215">
        <v>925.0</v>
      </c>
      <c r="F110" s="216">
        <f t="shared" ref="F110:F116" si="10">D110*E110</f>
        <v>5550</v>
      </c>
      <c r="G110" s="217"/>
      <c r="H110" s="194"/>
      <c r="I110" s="182"/>
      <c r="J110" s="182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</row>
    <row r="111">
      <c r="A111" s="211"/>
      <c r="B111" s="218" t="s">
        <v>410</v>
      </c>
      <c r="C111" s="213" t="s">
        <v>415</v>
      </c>
      <c r="D111" s="214">
        <f>24*CALCULOS!$C$10</f>
        <v>24</v>
      </c>
      <c r="E111" s="215">
        <v>480.0</v>
      </c>
      <c r="F111" s="216">
        <f t="shared" si="10"/>
        <v>11520</v>
      </c>
      <c r="G111" s="217"/>
      <c r="H111" s="194"/>
      <c r="I111" s="182"/>
      <c r="J111" s="182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</row>
    <row r="112">
      <c r="A112" s="211"/>
      <c r="B112" s="218" t="s">
        <v>390</v>
      </c>
      <c r="C112" s="213" t="s">
        <v>388</v>
      </c>
      <c r="D112" s="214">
        <f>CALCULOS!$C$10</f>
        <v>1</v>
      </c>
      <c r="E112" s="215">
        <v>95.0</v>
      </c>
      <c r="F112" s="216">
        <f t="shared" si="10"/>
        <v>95</v>
      </c>
      <c r="G112" s="217"/>
      <c r="H112" s="194"/>
      <c r="I112" s="182"/>
      <c r="J112" s="182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</row>
    <row r="113">
      <c r="A113" s="211"/>
      <c r="B113" s="220" t="s">
        <v>416</v>
      </c>
      <c r="C113" s="213" t="s">
        <v>388</v>
      </c>
      <c r="D113" s="214">
        <f>CALCULOS!$C$10</f>
        <v>1</v>
      </c>
      <c r="E113" s="215">
        <v>3000.0</v>
      </c>
      <c r="F113" s="216">
        <f t="shared" si="10"/>
        <v>3000</v>
      </c>
      <c r="G113" s="217"/>
      <c r="H113" s="194"/>
      <c r="I113" s="182"/>
      <c r="J113" s="182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</row>
    <row r="114">
      <c r="A114" s="211"/>
      <c r="B114" s="218" t="s">
        <v>389</v>
      </c>
      <c r="C114" s="213" t="s">
        <v>388</v>
      </c>
      <c r="D114" s="214">
        <f>CALCULOS!$C$10</f>
        <v>1</v>
      </c>
      <c r="E114" s="215">
        <v>400.0</v>
      </c>
      <c r="F114" s="216">
        <f t="shared" si="10"/>
        <v>400</v>
      </c>
      <c r="G114" s="217"/>
      <c r="H114" s="194"/>
      <c r="I114" s="182"/>
      <c r="J114" s="182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</row>
    <row r="115">
      <c r="A115" s="211"/>
      <c r="B115" s="218" t="s">
        <v>456</v>
      </c>
      <c r="C115" s="213" t="s">
        <v>388</v>
      </c>
      <c r="D115" s="214">
        <f>CALCULOS!$C$10</f>
        <v>1</v>
      </c>
      <c r="E115" s="215">
        <v>75.0</v>
      </c>
      <c r="F115" s="216">
        <f t="shared" si="10"/>
        <v>75</v>
      </c>
      <c r="G115" s="217"/>
      <c r="H115" s="194"/>
      <c r="I115" s="182"/>
      <c r="J115" s="182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</row>
    <row r="116">
      <c r="A116" s="211"/>
      <c r="B116" s="218" t="s">
        <v>457</v>
      </c>
      <c r="C116" s="213" t="s">
        <v>388</v>
      </c>
      <c r="D116" s="214">
        <f>4*CALCULOS!$C$10</f>
        <v>4</v>
      </c>
      <c r="E116" s="215">
        <v>30.0</v>
      </c>
      <c r="F116" s="216">
        <f t="shared" si="10"/>
        <v>120</v>
      </c>
      <c r="G116" s="217"/>
      <c r="H116" s="194"/>
      <c r="I116" s="182"/>
      <c r="J116" s="182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</row>
    <row r="117">
      <c r="A117" s="200">
        <v>10.0</v>
      </c>
      <c r="B117" s="201" t="s">
        <v>458</v>
      </c>
      <c r="C117" s="203"/>
      <c r="D117" s="243"/>
      <c r="E117" s="235"/>
      <c r="F117" s="203"/>
      <c r="G117" s="254">
        <f>SUM(F118:F123)</f>
        <v>11778</v>
      </c>
      <c r="H117" s="194"/>
      <c r="I117" s="182"/>
      <c r="J117" s="182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</row>
    <row r="118">
      <c r="A118" s="194"/>
      <c r="B118" s="218" t="s">
        <v>410</v>
      </c>
      <c r="C118" s="213" t="s">
        <v>415</v>
      </c>
      <c r="D118" s="214">
        <f>4*CALCULOS!$C$12</f>
        <v>4</v>
      </c>
      <c r="E118" s="215">
        <v>480.0</v>
      </c>
      <c r="F118" s="216">
        <f t="shared" ref="F118:F123" si="11">D118*E118</f>
        <v>1920</v>
      </c>
      <c r="G118" s="217"/>
      <c r="H118" s="194"/>
      <c r="I118" s="182"/>
      <c r="J118" s="182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</row>
    <row r="119">
      <c r="A119" s="194"/>
      <c r="B119" s="218" t="s">
        <v>411</v>
      </c>
      <c r="C119" s="213" t="s">
        <v>388</v>
      </c>
      <c r="D119" s="214">
        <f>24*CALCULOS!$C$12</f>
        <v>24</v>
      </c>
      <c r="E119" s="215">
        <v>65.0</v>
      </c>
      <c r="F119" s="216">
        <f t="shared" si="11"/>
        <v>1560</v>
      </c>
      <c r="G119" s="217"/>
      <c r="H119" s="194"/>
      <c r="I119" s="182"/>
      <c r="J119" s="182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</row>
    <row r="120">
      <c r="A120" s="194"/>
      <c r="B120" s="218" t="s">
        <v>455</v>
      </c>
      <c r="C120" s="213" t="s">
        <v>388</v>
      </c>
      <c r="D120" s="214">
        <f>4*CALCULOS!$C$12</f>
        <v>4</v>
      </c>
      <c r="E120" s="215">
        <v>925.0</v>
      </c>
      <c r="F120" s="216">
        <f t="shared" si="11"/>
        <v>3700</v>
      </c>
      <c r="G120" s="217"/>
      <c r="H120" s="194"/>
      <c r="I120" s="182"/>
      <c r="J120" s="182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</row>
    <row r="121">
      <c r="A121" s="194"/>
      <c r="B121" s="218" t="s">
        <v>429</v>
      </c>
      <c r="C121" s="213" t="s">
        <v>388</v>
      </c>
      <c r="D121" s="214">
        <f>CALCULOS!$C$12</f>
        <v>1</v>
      </c>
      <c r="E121" s="215">
        <v>150.0</v>
      </c>
      <c r="F121" s="216">
        <f t="shared" si="11"/>
        <v>150</v>
      </c>
      <c r="G121" s="217"/>
      <c r="H121" s="194"/>
      <c r="I121" s="182"/>
      <c r="J121" s="182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</row>
    <row r="122">
      <c r="A122" s="194"/>
      <c r="B122" s="218" t="s">
        <v>459</v>
      </c>
      <c r="C122" s="213" t="s">
        <v>388</v>
      </c>
      <c r="D122" s="214">
        <f>CALCULOS!$C$12</f>
        <v>1</v>
      </c>
      <c r="E122" s="215">
        <v>1200.0</v>
      </c>
      <c r="F122" s="216">
        <f t="shared" si="11"/>
        <v>1200</v>
      </c>
      <c r="G122" s="217"/>
      <c r="H122" s="194"/>
      <c r="I122" s="182"/>
      <c r="J122" s="182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</row>
    <row r="123">
      <c r="A123" s="194"/>
      <c r="B123" s="218" t="s">
        <v>460</v>
      </c>
      <c r="C123" s="213" t="s">
        <v>388</v>
      </c>
      <c r="D123" s="214">
        <f>CALCULOS!$C$12</f>
        <v>1</v>
      </c>
      <c r="E123" s="215">
        <v>3248.0</v>
      </c>
      <c r="F123" s="216">
        <f t="shared" si="11"/>
        <v>3248</v>
      </c>
      <c r="G123" s="217"/>
      <c r="H123" s="194"/>
      <c r="I123" s="182"/>
      <c r="J123" s="182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</row>
    <row r="124">
      <c r="A124" s="200">
        <v>11.0</v>
      </c>
      <c r="B124" s="201" t="s">
        <v>461</v>
      </c>
      <c r="C124" s="203"/>
      <c r="D124" s="243"/>
      <c r="E124" s="235"/>
      <c r="F124" s="203"/>
      <c r="G124" s="254">
        <f>SUM(F125:F130)</f>
        <v>11778</v>
      </c>
      <c r="H124" s="194"/>
      <c r="I124" s="182"/>
      <c r="J124" s="182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</row>
    <row r="125">
      <c r="A125" s="194"/>
      <c r="B125" s="218" t="s">
        <v>410</v>
      </c>
      <c r="C125" s="213" t="s">
        <v>415</v>
      </c>
      <c r="D125" s="214">
        <f>4*CALCULOS!$C$4</f>
        <v>4</v>
      </c>
      <c r="E125" s="215">
        <v>480.0</v>
      </c>
      <c r="F125" s="216">
        <f t="shared" ref="F125:F130" si="12">D125*E125</f>
        <v>1920</v>
      </c>
      <c r="G125" s="217"/>
      <c r="H125" s="194"/>
      <c r="I125" s="182"/>
      <c r="J125" s="182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</row>
    <row r="126">
      <c r="A126" s="194"/>
      <c r="B126" s="218" t="s">
        <v>411</v>
      </c>
      <c r="C126" s="213" t="s">
        <v>388</v>
      </c>
      <c r="D126" s="214">
        <f>24*CALCULOS!$C$4</f>
        <v>24</v>
      </c>
      <c r="E126" s="215">
        <v>65.0</v>
      </c>
      <c r="F126" s="216">
        <f t="shared" si="12"/>
        <v>1560</v>
      </c>
      <c r="G126" s="217"/>
      <c r="H126" s="194"/>
      <c r="I126" s="182"/>
      <c r="J126" s="182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</row>
    <row r="127">
      <c r="A127" s="194"/>
      <c r="B127" s="218" t="s">
        <v>455</v>
      </c>
      <c r="C127" s="213" t="s">
        <v>388</v>
      </c>
      <c r="D127" s="214">
        <f>4*CALCULOS!$C$4</f>
        <v>4</v>
      </c>
      <c r="E127" s="215">
        <v>925.0</v>
      </c>
      <c r="F127" s="216">
        <f t="shared" si="12"/>
        <v>3700</v>
      </c>
      <c r="G127" s="217"/>
      <c r="H127" s="194"/>
      <c r="I127" s="182"/>
      <c r="J127" s="182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</row>
    <row r="128">
      <c r="A128" s="194"/>
      <c r="B128" s="218" t="s">
        <v>429</v>
      </c>
      <c r="C128" s="213" t="s">
        <v>388</v>
      </c>
      <c r="D128" s="214">
        <f>CALCULOS!$C$4</f>
        <v>1</v>
      </c>
      <c r="E128" s="215">
        <v>150.0</v>
      </c>
      <c r="F128" s="216">
        <f t="shared" si="12"/>
        <v>150</v>
      </c>
      <c r="G128" s="217"/>
      <c r="H128" s="194"/>
      <c r="I128" s="182"/>
      <c r="J128" s="182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</row>
    <row r="129">
      <c r="A129" s="194"/>
      <c r="B129" s="218" t="s">
        <v>459</v>
      </c>
      <c r="C129" s="213" t="s">
        <v>388</v>
      </c>
      <c r="D129" s="214">
        <f>CALCULOS!$C$4</f>
        <v>1</v>
      </c>
      <c r="E129" s="215">
        <v>1200.0</v>
      </c>
      <c r="F129" s="216">
        <f t="shared" si="12"/>
        <v>1200</v>
      </c>
      <c r="G129" s="217"/>
      <c r="H129" s="194"/>
      <c r="I129" s="182"/>
      <c r="J129" s="182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</row>
    <row r="130">
      <c r="A130" s="194"/>
      <c r="B130" s="218" t="s">
        <v>460</v>
      </c>
      <c r="C130" s="213" t="s">
        <v>388</v>
      </c>
      <c r="D130" s="214">
        <f>CALCULOS!$C$4</f>
        <v>1</v>
      </c>
      <c r="E130" s="215">
        <v>3248.0</v>
      </c>
      <c r="F130" s="216">
        <f t="shared" si="12"/>
        <v>3248</v>
      </c>
      <c r="G130" s="217"/>
      <c r="H130" s="194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</row>
    <row r="131">
      <c r="A131" s="200">
        <v>12.0</v>
      </c>
      <c r="B131" s="201" t="s">
        <v>462</v>
      </c>
      <c r="C131" s="203"/>
      <c r="D131" s="243"/>
      <c r="E131" s="235"/>
      <c r="F131" s="203"/>
      <c r="G131" s="254">
        <f>SUM(F132:F136)</f>
        <v>6400</v>
      </c>
      <c r="H131" s="194"/>
      <c r="I131" s="182"/>
      <c r="J131" s="182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</row>
    <row r="132">
      <c r="A132" s="194"/>
      <c r="B132" s="218" t="s">
        <v>410</v>
      </c>
      <c r="C132" s="213" t="s">
        <v>388</v>
      </c>
      <c r="D132" s="214">
        <f>3*CALCULOS!$C$32</f>
        <v>3</v>
      </c>
      <c r="E132" s="215">
        <v>480.0</v>
      </c>
      <c r="F132" s="216">
        <f t="shared" ref="F132:F136" si="13">D132*E132</f>
        <v>1440</v>
      </c>
      <c r="G132" s="217"/>
      <c r="H132" s="194"/>
      <c r="I132" s="182"/>
      <c r="J132" s="182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</row>
    <row r="133">
      <c r="A133" s="194"/>
      <c r="B133" s="218" t="s">
        <v>463</v>
      </c>
      <c r="C133" s="213" t="s">
        <v>388</v>
      </c>
      <c r="D133" s="214">
        <f>12*CALCULOS!$C$32</f>
        <v>12</v>
      </c>
      <c r="E133" s="215">
        <v>65.0</v>
      </c>
      <c r="F133" s="216">
        <f t="shared" si="13"/>
        <v>780</v>
      </c>
      <c r="G133" s="217"/>
      <c r="H133" s="194"/>
      <c r="I133" s="182"/>
      <c r="J133" s="182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</row>
    <row r="134">
      <c r="A134" s="194"/>
      <c r="B134" s="218" t="s">
        <v>393</v>
      </c>
      <c r="C134" s="213" t="s">
        <v>388</v>
      </c>
      <c r="D134" s="214">
        <f>2*CALCULOS!$C$32</f>
        <v>2</v>
      </c>
      <c r="E134" s="215">
        <v>390.0</v>
      </c>
      <c r="F134" s="216">
        <f t="shared" si="13"/>
        <v>780</v>
      </c>
      <c r="G134" s="217"/>
      <c r="H134" s="194"/>
      <c r="I134" s="182"/>
      <c r="J134" s="182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</row>
    <row r="135">
      <c r="A135" s="194"/>
      <c r="B135" s="218" t="s">
        <v>464</v>
      </c>
      <c r="C135" s="213" t="s">
        <v>388</v>
      </c>
      <c r="D135" s="214">
        <f>CALCULOS!$C$32</f>
        <v>1</v>
      </c>
      <c r="E135" s="215">
        <v>2500.0</v>
      </c>
      <c r="F135" s="216">
        <f t="shared" si="13"/>
        <v>2500</v>
      </c>
      <c r="G135" s="217"/>
      <c r="H135" s="194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</row>
    <row r="136">
      <c r="A136" s="194"/>
      <c r="B136" s="218" t="s">
        <v>465</v>
      </c>
      <c r="C136" s="213" t="s">
        <v>388</v>
      </c>
      <c r="D136" s="214">
        <f>CALCULOS!$C$32</f>
        <v>1</v>
      </c>
      <c r="E136" s="215">
        <v>900.0</v>
      </c>
      <c r="F136" s="216">
        <f t="shared" si="13"/>
        <v>900</v>
      </c>
      <c r="G136" s="217"/>
      <c r="H136" s="194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</row>
    <row r="137">
      <c r="A137" s="200">
        <v>13.0</v>
      </c>
      <c r="B137" s="201" t="s">
        <v>466</v>
      </c>
      <c r="C137" s="203"/>
      <c r="D137" s="243"/>
      <c r="E137" s="235"/>
      <c r="F137" s="203"/>
      <c r="G137" s="254">
        <f>SUM(F138:F144)</f>
        <v>23706</v>
      </c>
      <c r="H137" s="194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</row>
    <row r="138">
      <c r="A138" s="194"/>
      <c r="B138" s="218" t="s">
        <v>467</v>
      </c>
      <c r="C138" s="213" t="s">
        <v>388</v>
      </c>
      <c r="D138" s="214">
        <f>4*CALCULOS!$C$5</f>
        <v>4</v>
      </c>
      <c r="E138" s="215">
        <v>1200.0</v>
      </c>
      <c r="F138" s="216">
        <f t="shared" ref="F138:F144" si="14">D138*E138</f>
        <v>4800</v>
      </c>
      <c r="G138" s="217"/>
      <c r="H138" s="194"/>
      <c r="I138" s="182"/>
      <c r="J138" s="182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</row>
    <row r="139">
      <c r="A139" s="194"/>
      <c r="B139" s="218" t="s">
        <v>468</v>
      </c>
      <c r="C139" s="213" t="s">
        <v>388</v>
      </c>
      <c r="D139" s="214">
        <f>12*CALCULOS!$C$5</f>
        <v>12</v>
      </c>
      <c r="E139" s="215">
        <v>65.0</v>
      </c>
      <c r="F139" s="216">
        <f t="shared" si="14"/>
        <v>780</v>
      </c>
      <c r="G139" s="217"/>
      <c r="H139" s="194"/>
      <c r="I139" s="182"/>
      <c r="J139" s="182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</row>
    <row r="140">
      <c r="A140" s="194"/>
      <c r="B140" s="218" t="s">
        <v>469</v>
      </c>
      <c r="C140" s="213" t="s">
        <v>388</v>
      </c>
      <c r="D140" s="214">
        <f>4*CALCULOS!$C$5</f>
        <v>4</v>
      </c>
      <c r="E140" s="215">
        <v>3219.0</v>
      </c>
      <c r="F140" s="216">
        <f t="shared" si="14"/>
        <v>12876</v>
      </c>
      <c r="G140" s="217"/>
      <c r="H140" s="194"/>
      <c r="I140" s="182"/>
      <c r="J140" s="182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</row>
    <row r="141">
      <c r="A141" s="194"/>
      <c r="B141" s="218" t="s">
        <v>470</v>
      </c>
      <c r="C141" s="213" t="s">
        <v>415</v>
      </c>
      <c r="D141" s="214">
        <f>CALCULOS!$C$5</f>
        <v>1</v>
      </c>
      <c r="E141" s="215">
        <v>1800.0</v>
      </c>
      <c r="F141" s="216">
        <f t="shared" si="14"/>
        <v>1800</v>
      </c>
      <c r="G141" s="217"/>
      <c r="H141" s="194"/>
      <c r="I141" s="182"/>
      <c r="J141" s="182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</row>
    <row r="142">
      <c r="A142" s="194"/>
      <c r="B142" s="218" t="s">
        <v>471</v>
      </c>
      <c r="C142" s="213" t="s">
        <v>388</v>
      </c>
      <c r="D142" s="214">
        <f>CALCULOS!$C$5</f>
        <v>1</v>
      </c>
      <c r="E142" s="215">
        <v>1200.0</v>
      </c>
      <c r="F142" s="216">
        <f t="shared" si="14"/>
        <v>1200</v>
      </c>
      <c r="G142" s="217"/>
      <c r="H142" s="194"/>
      <c r="I142" s="182"/>
      <c r="J142" s="182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</row>
    <row r="143">
      <c r="A143" s="194"/>
      <c r="B143" s="218" t="s">
        <v>391</v>
      </c>
      <c r="C143" s="213" t="s">
        <v>388</v>
      </c>
      <c r="D143" s="214">
        <f>CALCULOS!$C$5</f>
        <v>1</v>
      </c>
      <c r="E143" s="215">
        <v>750.0</v>
      </c>
      <c r="F143" s="216">
        <f t="shared" si="14"/>
        <v>750</v>
      </c>
      <c r="G143" s="217"/>
      <c r="H143" s="194"/>
      <c r="I143" s="182"/>
      <c r="J143" s="182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</row>
    <row r="144">
      <c r="A144" s="194"/>
      <c r="B144" s="218" t="s">
        <v>472</v>
      </c>
      <c r="C144" s="213" t="s">
        <v>388</v>
      </c>
      <c r="D144" s="214">
        <f>CALCULOS!$C$5</f>
        <v>1</v>
      </c>
      <c r="E144" s="215">
        <v>1500.0</v>
      </c>
      <c r="F144" s="216">
        <f t="shared" si="14"/>
        <v>1500</v>
      </c>
      <c r="G144" s="217"/>
      <c r="H144" s="194"/>
      <c r="I144" s="182"/>
      <c r="J144" s="182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</row>
    <row r="145">
      <c r="A145" s="200">
        <v>14.0</v>
      </c>
      <c r="B145" s="201" t="s">
        <v>473</v>
      </c>
      <c r="C145" s="203"/>
      <c r="D145" s="243"/>
      <c r="E145" s="235"/>
      <c r="F145" s="203"/>
      <c r="G145" s="254">
        <f>SUM(F146:F151)</f>
        <v>12485</v>
      </c>
      <c r="H145" s="194"/>
      <c r="I145" s="182"/>
      <c r="J145" s="182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</row>
    <row r="146">
      <c r="A146" s="194"/>
      <c r="B146" s="218" t="s">
        <v>474</v>
      </c>
      <c r="C146" s="213" t="s">
        <v>388</v>
      </c>
      <c r="D146" s="214">
        <f>CALCULOS!$C$26</f>
        <v>1</v>
      </c>
      <c r="E146" s="215">
        <v>2999.0</v>
      </c>
      <c r="F146" s="216">
        <f t="shared" ref="F146:F151" si="15">D146*E146</f>
        <v>2999</v>
      </c>
      <c r="G146" s="217"/>
      <c r="H146" s="194"/>
      <c r="I146" s="182"/>
      <c r="J146" s="182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</row>
    <row r="147">
      <c r="A147" s="194"/>
      <c r="B147" s="225" t="s">
        <v>390</v>
      </c>
      <c r="C147" s="213" t="s">
        <v>388</v>
      </c>
      <c r="D147" s="214">
        <f>12*CALCULOS!$C$26</f>
        <v>12</v>
      </c>
      <c r="E147" s="215">
        <v>95.0</v>
      </c>
      <c r="F147" s="216">
        <f t="shared" si="15"/>
        <v>1140</v>
      </c>
      <c r="G147" s="217"/>
      <c r="H147" s="194"/>
      <c r="I147" s="182"/>
      <c r="J147" s="182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</row>
    <row r="148">
      <c r="A148" s="194"/>
      <c r="B148" s="220" t="s">
        <v>397</v>
      </c>
      <c r="C148" s="213" t="s">
        <v>388</v>
      </c>
      <c r="D148" s="214">
        <f>CALCULOS!$C$26</f>
        <v>1</v>
      </c>
      <c r="E148" s="215">
        <v>3248.0</v>
      </c>
      <c r="F148" s="216">
        <f t="shared" si="15"/>
        <v>3248</v>
      </c>
      <c r="G148" s="217"/>
      <c r="H148" s="194"/>
      <c r="I148" s="182"/>
      <c r="J148" s="182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</row>
    <row r="149">
      <c r="A149" s="194"/>
      <c r="B149" s="218" t="s">
        <v>475</v>
      </c>
      <c r="C149" s="213" t="s">
        <v>388</v>
      </c>
      <c r="D149" s="214">
        <f>CALCULOS!$C$26</f>
        <v>1</v>
      </c>
      <c r="E149" s="215">
        <v>1500.0</v>
      </c>
      <c r="F149" s="216">
        <f t="shared" si="15"/>
        <v>1500</v>
      </c>
      <c r="G149" s="217"/>
      <c r="H149" s="194"/>
      <c r="I149" s="182"/>
      <c r="J149" s="182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</row>
    <row r="150">
      <c r="A150" s="194"/>
      <c r="B150" s="218" t="s">
        <v>476</v>
      </c>
      <c r="C150" s="213" t="s">
        <v>388</v>
      </c>
      <c r="D150" s="214">
        <f>CALCULOS!$C$26</f>
        <v>1</v>
      </c>
      <c r="E150" s="215">
        <v>3250.0</v>
      </c>
      <c r="F150" s="216">
        <f t="shared" si="15"/>
        <v>3250</v>
      </c>
      <c r="G150" s="217"/>
      <c r="H150" s="194"/>
      <c r="I150" s="182"/>
      <c r="J150" s="182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</row>
    <row r="151">
      <c r="A151" s="194"/>
      <c r="B151" s="218" t="s">
        <v>477</v>
      </c>
      <c r="C151" s="213" t="s">
        <v>388</v>
      </c>
      <c r="D151" s="214">
        <f>CALCULOS!$C$26</f>
        <v>1</v>
      </c>
      <c r="E151" s="215">
        <v>348.0</v>
      </c>
      <c r="F151" s="216">
        <f t="shared" si="15"/>
        <v>348</v>
      </c>
      <c r="G151" s="217"/>
      <c r="H151" s="194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</row>
    <row r="152">
      <c r="A152" s="200">
        <v>15.0</v>
      </c>
      <c r="B152" s="201" t="s">
        <v>478</v>
      </c>
      <c r="C152" s="203"/>
      <c r="D152" s="243"/>
      <c r="E152" s="235"/>
      <c r="F152" s="203"/>
      <c r="G152" s="254">
        <f>SUM(F153:F158)</f>
        <v>13370</v>
      </c>
      <c r="H152" s="194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</row>
    <row r="153">
      <c r="A153" s="194"/>
      <c r="B153" s="218" t="s">
        <v>479</v>
      </c>
      <c r="C153" s="213" t="s">
        <v>388</v>
      </c>
      <c r="D153" s="214">
        <f>3*(CALCULOS!C14+CALCULOS!C15+CALCULOS!C7+CALCULOS!C8+CALCULOS!C29)+3*(CALCULOS!C29+CALCULOS!C30)</f>
        <v>21</v>
      </c>
      <c r="E153" s="215">
        <v>300.0</v>
      </c>
      <c r="F153" s="216">
        <f t="shared" ref="F153:F158" si="16">D153*E153</f>
        <v>6300</v>
      </c>
      <c r="G153" s="217"/>
      <c r="H153" s="194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</row>
    <row r="154">
      <c r="A154" s="194"/>
      <c r="B154" s="218" t="s">
        <v>480</v>
      </c>
      <c r="C154" s="213" t="s">
        <v>388</v>
      </c>
      <c r="D154" s="214">
        <f>3*(CALCULOS!C14+CALCULOS!C15+CALCULOS!C7+CALCULOS!C8+CALCULOS!C29)+3*(CALCULOS!C29+CALCULOS!C30)</f>
        <v>21</v>
      </c>
      <c r="E154" s="215">
        <v>250.0</v>
      </c>
      <c r="F154" s="216">
        <f t="shared" si="16"/>
        <v>5250</v>
      </c>
      <c r="G154" s="217"/>
      <c r="H154" s="194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</row>
    <row r="155">
      <c r="A155" s="194"/>
      <c r="B155" s="218" t="s">
        <v>481</v>
      </c>
      <c r="C155" s="213" t="s">
        <v>388</v>
      </c>
      <c r="D155" s="214">
        <f>1*(CALCULOS!C14+CALCULOS!C15+CALCULOS!C7+CALCULOS!C8+CALCULOS!C29)+1*(CALCULOS!C29+CALCULOS!C30)</f>
        <v>7</v>
      </c>
      <c r="E155" s="215">
        <v>30.0</v>
      </c>
      <c r="F155" s="216">
        <f t="shared" si="16"/>
        <v>210</v>
      </c>
      <c r="G155" s="217"/>
      <c r="H155" s="194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</row>
    <row r="156">
      <c r="A156" s="194"/>
      <c r="B156" s="218" t="s">
        <v>482</v>
      </c>
      <c r="C156" s="213" t="s">
        <v>388</v>
      </c>
      <c r="D156" s="214">
        <f>1*(CALCULOS!C14+CALCULOS!C15+CALCULOS!C7+CALCULOS!C8+CALCULOS!C29)+1*(CALCULOS!C29+CALCULOS!C30)</f>
        <v>7</v>
      </c>
      <c r="E156" s="215">
        <v>80.0</v>
      </c>
      <c r="F156" s="216">
        <f t="shared" si="16"/>
        <v>560</v>
      </c>
      <c r="G156" s="217"/>
      <c r="H156" s="194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</row>
    <row r="157">
      <c r="A157" s="194"/>
      <c r="B157" s="218" t="s">
        <v>483</v>
      </c>
      <c r="C157" s="213" t="s">
        <v>388</v>
      </c>
      <c r="D157" s="214">
        <f>1*(CALCULOS!C14+CALCULOS!C15+CALCULOS!C7+CALCULOS!C8+CALCULOS!C29)+1*(CALCULOS!C29+CALCULOS!C30)</f>
        <v>7</v>
      </c>
      <c r="E157" s="215">
        <v>50.0</v>
      </c>
      <c r="F157" s="216">
        <f t="shared" si="16"/>
        <v>350</v>
      </c>
      <c r="G157" s="217"/>
      <c r="H157" s="194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</row>
    <row r="158">
      <c r="A158" s="194"/>
      <c r="B158" s="218" t="s">
        <v>484</v>
      </c>
      <c r="C158" s="213" t="s">
        <v>388</v>
      </c>
      <c r="D158" s="214">
        <f>1*(CALCULOS!C14+CALCULOS!C15+CALCULOS!C7+CALCULOS!C8+CALCULOS!C29)+1*(CALCULOS!C29+CALCULOS!C30)</f>
        <v>7</v>
      </c>
      <c r="E158" s="215">
        <v>100.0</v>
      </c>
      <c r="F158" s="216">
        <f t="shared" si="16"/>
        <v>700</v>
      </c>
      <c r="G158" s="217"/>
      <c r="H158" s="194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</row>
    <row r="159">
      <c r="A159" s="200">
        <v>14.0</v>
      </c>
      <c r="B159" s="201" t="s">
        <v>485</v>
      </c>
      <c r="C159" s="203"/>
      <c r="D159" s="243"/>
      <c r="E159" s="235"/>
      <c r="F159" s="203"/>
      <c r="G159" s="254">
        <f>SUM(F160:F165)</f>
        <v>2245</v>
      </c>
      <c r="H159" s="194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</row>
    <row r="160">
      <c r="A160" s="194"/>
      <c r="B160" s="218" t="s">
        <v>486</v>
      </c>
      <c r="C160" s="213" t="s">
        <v>415</v>
      </c>
      <c r="D160" s="214">
        <f>CALCULOS!$C$19</f>
        <v>1</v>
      </c>
      <c r="E160" s="215">
        <v>700.0</v>
      </c>
      <c r="F160" s="216">
        <f t="shared" ref="F160:F165" si="17">D160*E160</f>
        <v>700</v>
      </c>
      <c r="G160" s="217"/>
      <c r="H160" s="194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</row>
    <row r="161">
      <c r="A161" s="194"/>
      <c r="B161" s="218" t="s">
        <v>487</v>
      </c>
      <c r="C161" s="213" t="s">
        <v>415</v>
      </c>
      <c r="D161" s="214">
        <f>CALCULOS!$C$19</f>
        <v>1</v>
      </c>
      <c r="E161" s="215">
        <v>200.0</v>
      </c>
      <c r="F161" s="216">
        <f t="shared" si="17"/>
        <v>200</v>
      </c>
      <c r="G161" s="217"/>
      <c r="H161" s="194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</row>
    <row r="162">
      <c r="A162" s="194"/>
      <c r="B162" s="218" t="s">
        <v>488</v>
      </c>
      <c r="C162" s="213" t="s">
        <v>388</v>
      </c>
      <c r="D162" s="214">
        <f>CALCULOS!$C$19</f>
        <v>1</v>
      </c>
      <c r="E162" s="215">
        <v>700.0</v>
      </c>
      <c r="F162" s="216">
        <f t="shared" si="17"/>
        <v>700</v>
      </c>
      <c r="G162" s="217"/>
      <c r="H162" s="194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</row>
    <row r="163">
      <c r="A163" s="194"/>
      <c r="B163" s="218" t="s">
        <v>389</v>
      </c>
      <c r="C163" s="213" t="s">
        <v>388</v>
      </c>
      <c r="D163" s="214">
        <f>CALCULOS!$C$19</f>
        <v>1</v>
      </c>
      <c r="E163" s="215">
        <v>400.0</v>
      </c>
      <c r="F163" s="216">
        <f t="shared" si="17"/>
        <v>400</v>
      </c>
      <c r="G163" s="217"/>
      <c r="H163" s="194"/>
      <c r="I163" s="182"/>
      <c r="J163" s="182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</row>
    <row r="164">
      <c r="A164" s="194"/>
      <c r="B164" s="218" t="s">
        <v>390</v>
      </c>
      <c r="C164" s="213" t="s">
        <v>388</v>
      </c>
      <c r="D164" s="214">
        <f>CALCULOS!$C$19</f>
        <v>1</v>
      </c>
      <c r="E164" s="215">
        <v>95.0</v>
      </c>
      <c r="F164" s="216">
        <f t="shared" si="17"/>
        <v>95</v>
      </c>
      <c r="G164" s="217"/>
      <c r="H164" s="194"/>
      <c r="I164" s="182"/>
      <c r="J164" s="182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</row>
    <row r="165">
      <c r="A165" s="194"/>
      <c r="B165" s="218" t="s">
        <v>489</v>
      </c>
      <c r="C165" s="213" t="s">
        <v>388</v>
      </c>
      <c r="D165" s="214">
        <f>CALCULOS!$C$19</f>
        <v>1</v>
      </c>
      <c r="E165" s="215">
        <v>150.0</v>
      </c>
      <c r="F165" s="216">
        <f t="shared" si="17"/>
        <v>150</v>
      </c>
      <c r="G165" s="217"/>
      <c r="H165" s="194"/>
      <c r="I165" s="182"/>
      <c r="J165" s="182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</row>
    <row r="166">
      <c r="A166" s="200">
        <v>15.0</v>
      </c>
      <c r="B166" s="201" t="s">
        <v>490</v>
      </c>
      <c r="C166" s="203"/>
      <c r="D166" s="243"/>
      <c r="E166" s="235"/>
      <c r="F166" s="203"/>
      <c r="G166" s="254">
        <f>SUM(F167:F171)</f>
        <v>2050</v>
      </c>
      <c r="H166" s="194"/>
      <c r="I166" s="182"/>
      <c r="J166" s="182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</row>
    <row r="167">
      <c r="A167" s="194"/>
      <c r="B167" s="218" t="s">
        <v>491</v>
      </c>
      <c r="C167" s="213" t="s">
        <v>388</v>
      </c>
      <c r="D167" s="214">
        <f>CALCULOS!$C$20</f>
        <v>1</v>
      </c>
      <c r="E167" s="215">
        <v>900.0</v>
      </c>
      <c r="F167" s="216">
        <f t="shared" ref="F167:F171" si="18">D167*E167</f>
        <v>900</v>
      </c>
      <c r="G167" s="217"/>
      <c r="H167" s="194"/>
      <c r="I167" s="182"/>
      <c r="J167" s="182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</row>
    <row r="168">
      <c r="A168" s="194"/>
      <c r="B168" s="218" t="s">
        <v>492</v>
      </c>
      <c r="C168" s="213" t="s">
        <v>388</v>
      </c>
      <c r="D168" s="214">
        <f>CALCULOS!$C$20</f>
        <v>1</v>
      </c>
      <c r="E168" s="215">
        <v>450.0</v>
      </c>
      <c r="F168" s="216">
        <f t="shared" si="18"/>
        <v>450</v>
      </c>
      <c r="G168" s="217"/>
      <c r="H168" s="194"/>
      <c r="I168" s="182"/>
      <c r="J168" s="182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</row>
    <row r="169">
      <c r="A169" s="194"/>
      <c r="B169" s="218" t="s">
        <v>493</v>
      </c>
      <c r="C169" s="213" t="s">
        <v>388</v>
      </c>
      <c r="D169" s="214">
        <f>CALCULOS!$C$20</f>
        <v>1</v>
      </c>
      <c r="E169" s="215">
        <v>250.0</v>
      </c>
      <c r="F169" s="216">
        <f t="shared" si="18"/>
        <v>250</v>
      </c>
      <c r="G169" s="217"/>
      <c r="H169" s="194"/>
      <c r="I169" s="182"/>
      <c r="J169" s="182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</row>
    <row r="170">
      <c r="A170" s="194"/>
      <c r="B170" s="218" t="s">
        <v>494</v>
      </c>
      <c r="C170" s="213" t="s">
        <v>388</v>
      </c>
      <c r="D170" s="214">
        <f>CALCULOS!$C$20</f>
        <v>1</v>
      </c>
      <c r="E170" s="215">
        <v>300.0</v>
      </c>
      <c r="F170" s="216">
        <f t="shared" si="18"/>
        <v>300</v>
      </c>
      <c r="G170" s="217"/>
      <c r="H170" s="194"/>
      <c r="I170" s="182"/>
      <c r="J170" s="182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</row>
    <row r="171">
      <c r="A171" s="194"/>
      <c r="B171" s="218" t="s">
        <v>495</v>
      </c>
      <c r="C171" s="213" t="s">
        <v>388</v>
      </c>
      <c r="D171" s="214">
        <f>CALCULOS!$C$20</f>
        <v>1</v>
      </c>
      <c r="E171" s="215">
        <v>150.0</v>
      </c>
      <c r="F171" s="216">
        <f t="shared" si="18"/>
        <v>150</v>
      </c>
      <c r="G171" s="217"/>
      <c r="H171" s="194"/>
      <c r="I171" s="182"/>
      <c r="J171" s="182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</row>
    <row r="172">
      <c r="A172" s="255">
        <v>16.0</v>
      </c>
      <c r="B172" s="201" t="s">
        <v>496</v>
      </c>
      <c r="C172" s="205"/>
      <c r="D172" s="205"/>
      <c r="E172" s="205"/>
      <c r="F172" s="205"/>
      <c r="G172" s="256">
        <f>SUM(F173:F181)</f>
        <v>103672</v>
      </c>
      <c r="H172" s="194"/>
      <c r="I172" s="182"/>
      <c r="J172" s="182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</row>
    <row r="173">
      <c r="A173" s="257"/>
      <c r="B173" s="220" t="s">
        <v>416</v>
      </c>
      <c r="C173" s="213" t="s">
        <v>388</v>
      </c>
      <c r="D173" s="213">
        <v>30.0</v>
      </c>
      <c r="E173" s="215">
        <v>3000.0</v>
      </c>
      <c r="F173" s="258">
        <f t="shared" ref="F173:F181" si="19">D173*E173</f>
        <v>90000</v>
      </c>
      <c r="G173" s="213"/>
      <c r="H173" s="194"/>
      <c r="I173" s="182"/>
      <c r="J173" s="182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</row>
    <row r="174">
      <c r="A174" s="257"/>
      <c r="B174" s="218" t="s">
        <v>410</v>
      </c>
      <c r="C174" s="213" t="s">
        <v>388</v>
      </c>
      <c r="D174" s="213">
        <v>5.0</v>
      </c>
      <c r="E174" s="215">
        <v>480.0</v>
      </c>
      <c r="F174" s="258">
        <f t="shared" si="19"/>
        <v>2400</v>
      </c>
      <c r="G174" s="213"/>
      <c r="H174" s="194"/>
      <c r="I174" s="182"/>
      <c r="J174" s="182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</row>
    <row r="175">
      <c r="A175" s="257"/>
      <c r="B175" s="225" t="s">
        <v>390</v>
      </c>
      <c r="C175" s="213" t="s">
        <v>388</v>
      </c>
      <c r="D175" s="213">
        <v>31.0</v>
      </c>
      <c r="E175" s="215">
        <v>95.0</v>
      </c>
      <c r="F175" s="258">
        <f t="shared" si="19"/>
        <v>2945</v>
      </c>
      <c r="G175" s="213"/>
      <c r="H175" s="194"/>
      <c r="I175" s="182"/>
      <c r="J175" s="182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</row>
    <row r="176">
      <c r="A176" s="257"/>
      <c r="B176" s="212" t="s">
        <v>497</v>
      </c>
      <c r="C176" s="213" t="s">
        <v>388</v>
      </c>
      <c r="D176" s="213">
        <v>1.0</v>
      </c>
      <c r="E176" s="215">
        <v>3000.0</v>
      </c>
      <c r="F176" s="258">
        <f t="shared" si="19"/>
        <v>3000</v>
      </c>
      <c r="G176" s="213"/>
      <c r="H176" s="194"/>
      <c r="I176" s="182"/>
      <c r="J176" s="182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</row>
    <row r="177">
      <c r="A177" s="257"/>
      <c r="B177" s="218" t="s">
        <v>389</v>
      </c>
      <c r="C177" s="213" t="s">
        <v>388</v>
      </c>
      <c r="D177" s="213">
        <v>1.0</v>
      </c>
      <c r="E177" s="215">
        <v>400.0</v>
      </c>
      <c r="F177" s="258">
        <f t="shared" si="19"/>
        <v>400</v>
      </c>
      <c r="G177" s="213"/>
      <c r="H177" s="194"/>
      <c r="I177" s="182"/>
      <c r="J177" s="182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</row>
    <row r="178">
      <c r="A178" s="257"/>
      <c r="B178" s="220" t="s">
        <v>397</v>
      </c>
      <c r="C178" s="213" t="s">
        <v>388</v>
      </c>
      <c r="D178" s="213">
        <v>1.0</v>
      </c>
      <c r="E178" s="222">
        <v>3248.0</v>
      </c>
      <c r="F178" s="258">
        <f t="shared" si="19"/>
        <v>3248</v>
      </c>
      <c r="G178" s="213"/>
      <c r="H178" s="194"/>
      <c r="I178" s="182"/>
      <c r="J178" s="182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</row>
    <row r="179">
      <c r="A179" s="257"/>
      <c r="B179" s="212" t="s">
        <v>392</v>
      </c>
      <c r="C179" s="213" t="s">
        <v>388</v>
      </c>
      <c r="D179" s="213">
        <v>1.0</v>
      </c>
      <c r="E179" s="215">
        <v>750.0</v>
      </c>
      <c r="F179" s="258">
        <f t="shared" si="19"/>
        <v>750</v>
      </c>
      <c r="G179" s="213"/>
      <c r="H179" s="194"/>
      <c r="I179" s="182"/>
      <c r="J179" s="182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</row>
    <row r="180">
      <c r="A180" s="257"/>
      <c r="B180" s="218" t="s">
        <v>391</v>
      </c>
      <c r="C180" s="213" t="s">
        <v>388</v>
      </c>
      <c r="D180" s="213">
        <v>1.0</v>
      </c>
      <c r="E180" s="215">
        <v>750.0</v>
      </c>
      <c r="F180" s="258">
        <f t="shared" si="19"/>
        <v>750</v>
      </c>
      <c r="G180" s="213"/>
      <c r="H180" s="194"/>
      <c r="I180" s="182"/>
      <c r="J180" s="182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</row>
    <row r="181">
      <c r="A181" s="257"/>
      <c r="B181" s="212" t="s">
        <v>417</v>
      </c>
      <c r="C181" s="213" t="s">
        <v>388</v>
      </c>
      <c r="D181" s="213">
        <v>1.0</v>
      </c>
      <c r="E181" s="215">
        <v>179.0</v>
      </c>
      <c r="F181" s="258">
        <f t="shared" si="19"/>
        <v>179</v>
      </c>
      <c r="G181" s="213"/>
      <c r="H181" s="194"/>
      <c r="I181" s="182"/>
      <c r="J181" s="182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</row>
    <row r="182">
      <c r="A182" s="255">
        <v>17.0</v>
      </c>
      <c r="B182" s="201" t="s">
        <v>498</v>
      </c>
      <c r="C182" s="205"/>
      <c r="D182" s="205"/>
      <c r="E182" s="205"/>
      <c r="F182" s="205"/>
      <c r="G182" s="256">
        <f>SUM(F183:F191)</f>
        <v>103672</v>
      </c>
      <c r="H182" s="194"/>
      <c r="I182" s="182"/>
      <c r="J182" s="182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</row>
    <row r="183">
      <c r="A183" s="257"/>
      <c r="B183" s="220" t="s">
        <v>416</v>
      </c>
      <c r="C183" s="213" t="s">
        <v>388</v>
      </c>
      <c r="D183" s="213">
        <v>30.0</v>
      </c>
      <c r="E183" s="215">
        <v>3000.0</v>
      </c>
      <c r="F183" s="258">
        <f t="shared" ref="F183:F191" si="20">D183*E183</f>
        <v>90000</v>
      </c>
      <c r="G183" s="213"/>
      <c r="H183" s="194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>
      <c r="A184" s="257"/>
      <c r="B184" s="218" t="s">
        <v>410</v>
      </c>
      <c r="C184" s="213" t="s">
        <v>388</v>
      </c>
      <c r="D184" s="213">
        <v>5.0</v>
      </c>
      <c r="E184" s="215">
        <v>480.0</v>
      </c>
      <c r="F184" s="258">
        <f t="shared" si="20"/>
        <v>2400</v>
      </c>
      <c r="G184" s="213"/>
      <c r="H184" s="194"/>
      <c r="I184" s="182"/>
      <c r="J184" s="182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</row>
    <row r="185">
      <c r="A185" s="257"/>
      <c r="B185" s="225" t="s">
        <v>390</v>
      </c>
      <c r="C185" s="213" t="s">
        <v>388</v>
      </c>
      <c r="D185" s="213">
        <v>31.0</v>
      </c>
      <c r="E185" s="215">
        <v>95.0</v>
      </c>
      <c r="F185" s="258">
        <f t="shared" si="20"/>
        <v>2945</v>
      </c>
      <c r="G185" s="213"/>
      <c r="H185" s="194"/>
      <c r="I185" s="182"/>
      <c r="J185" s="182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</row>
    <row r="186">
      <c r="A186" s="257"/>
      <c r="B186" s="212" t="s">
        <v>497</v>
      </c>
      <c r="C186" s="213" t="s">
        <v>388</v>
      </c>
      <c r="D186" s="213">
        <v>1.0</v>
      </c>
      <c r="E186" s="215">
        <v>3000.0</v>
      </c>
      <c r="F186" s="258">
        <f t="shared" si="20"/>
        <v>3000</v>
      </c>
      <c r="G186" s="213"/>
      <c r="H186" s="194"/>
      <c r="I186" s="182"/>
      <c r="J186" s="182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</row>
    <row r="187">
      <c r="A187" s="257"/>
      <c r="B187" s="218" t="s">
        <v>389</v>
      </c>
      <c r="C187" s="213" t="s">
        <v>388</v>
      </c>
      <c r="D187" s="213">
        <v>1.0</v>
      </c>
      <c r="E187" s="215">
        <v>400.0</v>
      </c>
      <c r="F187" s="258">
        <f t="shared" si="20"/>
        <v>400</v>
      </c>
      <c r="G187" s="213"/>
      <c r="H187" s="194"/>
      <c r="I187" s="182"/>
      <c r="J187" s="182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</row>
    <row r="188">
      <c r="A188" s="257"/>
      <c r="B188" s="220" t="s">
        <v>397</v>
      </c>
      <c r="C188" s="213" t="s">
        <v>388</v>
      </c>
      <c r="D188" s="213">
        <v>1.0</v>
      </c>
      <c r="E188" s="222">
        <v>3248.0</v>
      </c>
      <c r="F188" s="258">
        <f t="shared" si="20"/>
        <v>3248</v>
      </c>
      <c r="G188" s="213"/>
      <c r="H188" s="194"/>
      <c r="I188" s="182"/>
      <c r="J188" s="182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</row>
    <row r="189">
      <c r="A189" s="257"/>
      <c r="B189" s="212" t="s">
        <v>392</v>
      </c>
      <c r="C189" s="213" t="s">
        <v>388</v>
      </c>
      <c r="D189" s="213">
        <v>1.0</v>
      </c>
      <c r="E189" s="215">
        <v>750.0</v>
      </c>
      <c r="F189" s="258">
        <f t="shared" si="20"/>
        <v>750</v>
      </c>
      <c r="G189" s="213"/>
      <c r="H189" s="194"/>
      <c r="I189" s="182"/>
      <c r="J189" s="182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</row>
    <row r="190">
      <c r="A190" s="257"/>
      <c r="B190" s="218" t="s">
        <v>391</v>
      </c>
      <c r="C190" s="213" t="s">
        <v>388</v>
      </c>
      <c r="D190" s="213">
        <v>1.0</v>
      </c>
      <c r="E190" s="215">
        <v>750.0</v>
      </c>
      <c r="F190" s="258">
        <f t="shared" si="20"/>
        <v>750</v>
      </c>
      <c r="G190" s="213"/>
      <c r="H190" s="194"/>
      <c r="I190" s="182"/>
      <c r="J190" s="182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</row>
    <row r="191">
      <c r="A191" s="257"/>
      <c r="B191" s="212" t="s">
        <v>417</v>
      </c>
      <c r="C191" s="213" t="s">
        <v>388</v>
      </c>
      <c r="D191" s="213">
        <v>1.0</v>
      </c>
      <c r="E191" s="215">
        <v>179.0</v>
      </c>
      <c r="F191" s="258">
        <f t="shared" si="20"/>
        <v>179</v>
      </c>
      <c r="G191" s="213"/>
      <c r="H191" s="194"/>
      <c r="I191" s="182"/>
      <c r="J191" s="182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</row>
    <row r="192">
      <c r="A192" s="255">
        <v>18.0</v>
      </c>
      <c r="B192" s="201" t="s">
        <v>499</v>
      </c>
      <c r="C192" s="205"/>
      <c r="D192" s="205"/>
      <c r="E192" s="205"/>
      <c r="F192" s="205"/>
      <c r="G192" s="256">
        <f>SUM(F193:F203)</f>
        <v>5321.6</v>
      </c>
      <c r="H192" s="194"/>
      <c r="I192" s="182"/>
      <c r="J192" s="182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</row>
    <row r="193">
      <c r="A193" s="257"/>
      <c r="B193" s="212" t="s">
        <v>500</v>
      </c>
      <c r="C193" s="213" t="s">
        <v>388</v>
      </c>
      <c r="D193" s="213">
        <v>20.0</v>
      </c>
      <c r="E193" s="215">
        <v>70.0</v>
      </c>
      <c r="F193" s="258">
        <f t="shared" ref="F193:F203" si="21">D193*E193</f>
        <v>1400</v>
      </c>
      <c r="G193" s="213"/>
      <c r="H193" s="194"/>
      <c r="I193" s="182"/>
      <c r="J193" s="182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</row>
    <row r="194">
      <c r="A194" s="257"/>
      <c r="B194" s="212" t="s">
        <v>501</v>
      </c>
      <c r="C194" s="213" t="s">
        <v>388</v>
      </c>
      <c r="D194" s="213">
        <v>2.0</v>
      </c>
      <c r="E194" s="215">
        <v>180.0</v>
      </c>
      <c r="F194" s="258">
        <f t="shared" si="21"/>
        <v>360</v>
      </c>
      <c r="G194" s="213"/>
      <c r="H194" s="194"/>
      <c r="I194" s="182"/>
      <c r="J194" s="182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</row>
    <row r="195">
      <c r="A195" s="257"/>
      <c r="B195" s="212" t="s">
        <v>502</v>
      </c>
      <c r="C195" s="213" t="s">
        <v>388</v>
      </c>
      <c r="D195" s="213">
        <v>10.0</v>
      </c>
      <c r="E195" s="215">
        <v>40.0</v>
      </c>
      <c r="F195" s="258">
        <f t="shared" si="21"/>
        <v>400</v>
      </c>
      <c r="G195" s="213"/>
      <c r="H195" s="194"/>
      <c r="I195" s="182"/>
      <c r="J195" s="182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</row>
    <row r="196">
      <c r="A196" s="257"/>
      <c r="B196" s="212" t="s">
        <v>503</v>
      </c>
      <c r="C196" s="213" t="s">
        <v>388</v>
      </c>
      <c r="D196" s="213">
        <v>20.0</v>
      </c>
      <c r="E196" s="215">
        <v>25.0</v>
      </c>
      <c r="F196" s="258">
        <f t="shared" si="21"/>
        <v>500</v>
      </c>
      <c r="G196" s="213"/>
      <c r="H196" s="194"/>
      <c r="I196" s="182"/>
      <c r="J196" s="182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</row>
    <row r="197">
      <c r="A197" s="257"/>
      <c r="B197" s="212" t="s">
        <v>504</v>
      </c>
      <c r="C197" s="213" t="s">
        <v>388</v>
      </c>
      <c r="D197" s="213">
        <v>20.0</v>
      </c>
      <c r="E197" s="215">
        <v>3.9</v>
      </c>
      <c r="F197" s="258">
        <f t="shared" si="21"/>
        <v>78</v>
      </c>
      <c r="G197" s="213"/>
      <c r="H197" s="194"/>
      <c r="I197" s="182"/>
      <c r="J197" s="182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</row>
    <row r="198">
      <c r="A198" s="257"/>
      <c r="B198" s="212" t="s">
        <v>505</v>
      </c>
      <c r="C198" s="213" t="s">
        <v>388</v>
      </c>
      <c r="D198" s="213">
        <v>2.0</v>
      </c>
      <c r="E198" s="215">
        <v>150.0</v>
      </c>
      <c r="F198" s="258">
        <f t="shared" si="21"/>
        <v>300</v>
      </c>
      <c r="G198" s="213"/>
      <c r="H198" s="194"/>
      <c r="I198" s="182"/>
      <c r="J198" s="182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</row>
    <row r="199">
      <c r="A199" s="257"/>
      <c r="B199" s="212" t="s">
        <v>506</v>
      </c>
      <c r="C199" s="213" t="s">
        <v>388</v>
      </c>
      <c r="D199" s="213">
        <v>10.0</v>
      </c>
      <c r="E199" s="215">
        <v>27.0</v>
      </c>
      <c r="F199" s="258">
        <f t="shared" si="21"/>
        <v>270</v>
      </c>
      <c r="G199" s="213"/>
      <c r="H199" s="194"/>
      <c r="I199" s="182"/>
      <c r="J199" s="182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</row>
    <row r="200">
      <c r="A200" s="257"/>
      <c r="B200" s="212" t="s">
        <v>507</v>
      </c>
      <c r="C200" s="213" t="s">
        <v>388</v>
      </c>
      <c r="D200" s="213">
        <v>10.0</v>
      </c>
      <c r="E200" s="215">
        <v>9.9</v>
      </c>
      <c r="F200" s="258">
        <f t="shared" si="21"/>
        <v>99</v>
      </c>
      <c r="G200" s="213"/>
      <c r="H200" s="194"/>
      <c r="I200" s="182"/>
      <c r="J200" s="182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</row>
    <row r="201">
      <c r="A201" s="257"/>
      <c r="B201" s="212" t="s">
        <v>508</v>
      </c>
      <c r="C201" s="213" t="s">
        <v>388</v>
      </c>
      <c r="D201" s="213">
        <v>4.0</v>
      </c>
      <c r="E201" s="215">
        <v>14.9</v>
      </c>
      <c r="F201" s="258">
        <f t="shared" si="21"/>
        <v>59.6</v>
      </c>
      <c r="G201" s="213"/>
      <c r="H201" s="194"/>
      <c r="I201" s="182"/>
      <c r="J201" s="182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</row>
    <row r="202">
      <c r="A202" s="257"/>
      <c r="B202" s="212" t="s">
        <v>509</v>
      </c>
      <c r="C202" s="213" t="s">
        <v>388</v>
      </c>
      <c r="D202" s="213">
        <v>2.0</v>
      </c>
      <c r="E202" s="215">
        <v>850.0</v>
      </c>
      <c r="F202" s="258">
        <f t="shared" si="21"/>
        <v>1700</v>
      </c>
      <c r="G202" s="213"/>
      <c r="H202" s="194"/>
      <c r="I202" s="182"/>
      <c r="J202" s="182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</row>
    <row r="203">
      <c r="A203" s="257"/>
      <c r="B203" s="212" t="s">
        <v>510</v>
      </c>
      <c r="C203" s="213" t="s">
        <v>511</v>
      </c>
      <c r="D203" s="213">
        <v>1.0</v>
      </c>
      <c r="E203" s="215">
        <v>155.0</v>
      </c>
      <c r="F203" s="258">
        <f t="shared" si="21"/>
        <v>155</v>
      </c>
      <c r="G203" s="213"/>
      <c r="H203" s="194"/>
      <c r="I203" s="182"/>
      <c r="J203" s="182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</row>
    <row r="204">
      <c r="A204" s="255">
        <v>19.0</v>
      </c>
      <c r="B204" s="201" t="s">
        <v>512</v>
      </c>
      <c r="C204" s="205"/>
      <c r="D204" s="205"/>
      <c r="E204" s="205"/>
      <c r="F204" s="205"/>
      <c r="G204" s="256">
        <f>SUM(F205:F211)</f>
        <v>1032</v>
      </c>
      <c r="H204" s="194"/>
      <c r="I204" s="182"/>
      <c r="J204" s="182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</row>
    <row r="205">
      <c r="A205" s="259"/>
      <c r="B205" s="218" t="s">
        <v>411</v>
      </c>
      <c r="C205" s="213" t="s">
        <v>388</v>
      </c>
      <c r="D205" s="260">
        <v>6.0</v>
      </c>
      <c r="E205" s="215">
        <v>65.0</v>
      </c>
      <c r="F205" s="258">
        <f t="shared" ref="F205:F211" si="22">D205*E205</f>
        <v>390</v>
      </c>
      <c r="G205" s="213"/>
      <c r="H205" s="194"/>
      <c r="I205" s="182"/>
      <c r="J205" s="182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</row>
    <row r="206">
      <c r="A206" s="259"/>
      <c r="B206" s="218" t="s">
        <v>389</v>
      </c>
      <c r="C206" s="213" t="s">
        <v>388</v>
      </c>
      <c r="D206" s="260">
        <v>1.0</v>
      </c>
      <c r="E206" s="215">
        <v>400.0</v>
      </c>
      <c r="F206" s="258">
        <f t="shared" si="22"/>
        <v>400</v>
      </c>
      <c r="G206" s="213"/>
      <c r="H206" s="194"/>
      <c r="I206" s="182"/>
      <c r="J206" s="182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</row>
    <row r="207">
      <c r="A207" s="259"/>
      <c r="B207" s="212" t="s">
        <v>513</v>
      </c>
      <c r="C207" s="213" t="s">
        <v>388</v>
      </c>
      <c r="D207" s="260">
        <v>1.0</v>
      </c>
      <c r="E207" s="215">
        <v>95.0</v>
      </c>
      <c r="F207" s="258">
        <f t="shared" si="22"/>
        <v>95</v>
      </c>
      <c r="G207" s="213"/>
      <c r="H207" s="194"/>
      <c r="I207" s="182"/>
      <c r="J207" s="182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</row>
    <row r="208">
      <c r="A208" s="259"/>
      <c r="B208" s="212" t="s">
        <v>514</v>
      </c>
      <c r="C208" s="213" t="s">
        <v>388</v>
      </c>
      <c r="D208" s="260">
        <v>2.0</v>
      </c>
      <c r="E208" s="215">
        <v>6.0</v>
      </c>
      <c r="F208" s="258">
        <f t="shared" si="22"/>
        <v>12</v>
      </c>
      <c r="G208" s="213"/>
      <c r="H208" s="194"/>
      <c r="I208" s="182"/>
      <c r="J208" s="182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</row>
    <row r="209">
      <c r="A209" s="259"/>
      <c r="B209" s="220" t="s">
        <v>403</v>
      </c>
      <c r="C209" s="213" t="s">
        <v>388</v>
      </c>
      <c r="D209" s="260">
        <v>1.0</v>
      </c>
      <c r="E209" s="215">
        <v>75.0</v>
      </c>
      <c r="F209" s="258">
        <f t="shared" si="22"/>
        <v>75</v>
      </c>
      <c r="G209" s="213"/>
      <c r="H209" s="194"/>
      <c r="I209" s="182"/>
      <c r="J209" s="182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</row>
    <row r="210">
      <c r="A210" s="259"/>
      <c r="B210" s="212" t="s">
        <v>515</v>
      </c>
      <c r="C210" s="213" t="s">
        <v>388</v>
      </c>
      <c r="D210" s="260">
        <v>1.0</v>
      </c>
      <c r="E210" s="215">
        <v>30.0</v>
      </c>
      <c r="F210" s="258">
        <f t="shared" si="22"/>
        <v>30</v>
      </c>
      <c r="G210" s="213"/>
      <c r="H210" s="194"/>
      <c r="I210" s="182"/>
      <c r="J210" s="182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</row>
    <row r="211">
      <c r="A211" s="259"/>
      <c r="B211" s="212" t="s">
        <v>516</v>
      </c>
      <c r="C211" s="213" t="s">
        <v>388</v>
      </c>
      <c r="D211" s="214">
        <v>1.0</v>
      </c>
      <c r="E211" s="215">
        <v>30.0</v>
      </c>
      <c r="F211" s="258">
        <f t="shared" si="22"/>
        <v>30</v>
      </c>
      <c r="G211" s="213"/>
      <c r="H211" s="194"/>
      <c r="I211" s="182"/>
      <c r="J211" s="182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</row>
    <row r="212">
      <c r="A212" s="261" t="s">
        <v>517</v>
      </c>
      <c r="B212" s="149"/>
      <c r="C212" s="149"/>
      <c r="D212" s="149"/>
      <c r="E212" s="149"/>
      <c r="F212" s="150"/>
      <c r="G212" s="258">
        <f>SUM(G8:G211)</f>
        <v>516068.96</v>
      </c>
      <c r="H212" s="262"/>
      <c r="I212" s="182"/>
      <c r="J212" s="182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</row>
    <row r="213">
      <c r="A213" s="182"/>
      <c r="B213" s="182"/>
      <c r="C213" s="182"/>
      <c r="D213" s="182"/>
      <c r="E213" s="182"/>
      <c r="F213" s="182"/>
      <c r="G213" s="263"/>
      <c r="H213" s="182"/>
      <c r="I213" s="182"/>
      <c r="J213" s="182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</row>
    <row r="214">
      <c r="A214" s="182"/>
      <c r="B214" s="182"/>
      <c r="C214" s="182"/>
      <c r="D214" s="182"/>
      <c r="E214" s="182"/>
      <c r="F214" s="182"/>
      <c r="G214" s="263"/>
      <c r="H214" s="182"/>
      <c r="I214" s="182"/>
      <c r="J214" s="182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</row>
    <row r="215">
      <c r="A215" s="182"/>
      <c r="B215" s="182"/>
      <c r="C215" s="182"/>
      <c r="D215" s="182"/>
      <c r="E215" s="182"/>
      <c r="F215" s="182"/>
      <c r="G215" s="263"/>
      <c r="H215" s="182"/>
      <c r="I215" s="182"/>
      <c r="J215" s="182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</row>
    <row r="216">
      <c r="A216" s="182"/>
      <c r="B216" s="182"/>
      <c r="C216" s="182"/>
      <c r="D216" s="182"/>
      <c r="E216" s="182"/>
      <c r="F216" s="182"/>
      <c r="G216" s="263"/>
      <c r="H216" s="182"/>
      <c r="I216" s="182"/>
      <c r="J216" s="182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</row>
    <row r="217">
      <c r="A217" s="182"/>
      <c r="B217" s="182"/>
      <c r="C217" s="182"/>
      <c r="D217" s="182"/>
      <c r="E217" s="182"/>
      <c r="F217" s="182"/>
      <c r="G217" s="263"/>
      <c r="H217" s="182"/>
      <c r="I217" s="182"/>
      <c r="J217" s="182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</row>
    <row r="218">
      <c r="A218" s="182"/>
      <c r="B218" s="182"/>
      <c r="C218" s="182"/>
      <c r="D218" s="182"/>
      <c r="E218" s="182"/>
      <c r="F218" s="182"/>
      <c r="G218" s="263"/>
      <c r="H218" s="182"/>
      <c r="I218" s="182"/>
      <c r="J218" s="182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</row>
    <row r="219">
      <c r="A219" s="182"/>
      <c r="B219" s="182"/>
      <c r="C219" s="182"/>
      <c r="D219" s="182"/>
      <c r="E219" s="182"/>
      <c r="F219" s="182"/>
      <c r="G219" s="263"/>
      <c r="H219" s="182"/>
      <c r="I219" s="182"/>
      <c r="J219" s="182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</row>
    <row r="220">
      <c r="A220" s="182"/>
      <c r="B220" s="182"/>
      <c r="C220" s="182"/>
      <c r="D220" s="182"/>
      <c r="E220" s="182"/>
      <c r="F220" s="182"/>
      <c r="G220" s="263"/>
      <c r="H220" s="182"/>
      <c r="I220" s="182"/>
      <c r="J220" s="182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</row>
    <row r="221">
      <c r="A221" s="182"/>
      <c r="B221" s="182"/>
      <c r="C221" s="182"/>
      <c r="D221" s="182"/>
      <c r="E221" s="182"/>
      <c r="F221" s="182"/>
      <c r="G221" s="263"/>
      <c r="H221" s="182"/>
      <c r="I221" s="182"/>
      <c r="J221" s="182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</row>
    <row r="222">
      <c r="A222" s="182"/>
      <c r="B222" s="182"/>
      <c r="C222" s="182"/>
      <c r="D222" s="182"/>
      <c r="E222" s="182"/>
      <c r="F222" s="182"/>
      <c r="G222" s="263"/>
      <c r="H222" s="182"/>
      <c r="I222" s="182"/>
      <c r="J222" s="182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</row>
    <row r="223">
      <c r="A223" s="182"/>
      <c r="B223" s="182"/>
      <c r="C223" s="182"/>
      <c r="D223" s="182"/>
      <c r="E223" s="182"/>
      <c r="F223" s="182"/>
      <c r="G223" s="263"/>
      <c r="H223" s="182"/>
      <c r="I223" s="182"/>
      <c r="J223" s="182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</row>
    <row r="224">
      <c r="A224" s="182"/>
      <c r="B224" s="182"/>
      <c r="C224" s="182"/>
      <c r="D224" s="182"/>
      <c r="E224" s="182"/>
      <c r="F224" s="182"/>
      <c r="G224" s="263"/>
      <c r="H224" s="182"/>
      <c r="I224" s="182"/>
      <c r="J224" s="182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</row>
    <row r="225">
      <c r="A225" s="182"/>
      <c r="B225" s="182"/>
      <c r="C225" s="182"/>
      <c r="D225" s="182"/>
      <c r="E225" s="182"/>
      <c r="F225" s="182"/>
      <c r="G225" s="263"/>
      <c r="H225" s="182"/>
      <c r="I225" s="182"/>
      <c r="J225" s="182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</row>
    <row r="226">
      <c r="A226" s="182"/>
      <c r="B226" s="182"/>
      <c r="C226" s="182"/>
      <c r="D226" s="182"/>
      <c r="E226" s="182"/>
      <c r="F226" s="182"/>
      <c r="G226" s="263"/>
      <c r="H226" s="182"/>
      <c r="I226" s="182"/>
      <c r="J226" s="182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</row>
    <row r="227">
      <c r="A227" s="182"/>
      <c r="B227" s="182"/>
      <c r="C227" s="182"/>
      <c r="D227" s="182"/>
      <c r="E227" s="182"/>
      <c r="F227" s="182"/>
      <c r="G227" s="263"/>
      <c r="H227" s="182"/>
      <c r="I227" s="182"/>
      <c r="J227" s="182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</row>
    <row r="228">
      <c r="A228" s="182"/>
      <c r="B228" s="182"/>
      <c r="C228" s="182"/>
      <c r="D228" s="182"/>
      <c r="E228" s="182"/>
      <c r="F228" s="182"/>
      <c r="G228" s="263"/>
      <c r="H228" s="182"/>
      <c r="I228" s="182"/>
      <c r="J228" s="182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</row>
    <row r="229">
      <c r="A229" s="182"/>
      <c r="B229" s="182"/>
      <c r="C229" s="182"/>
      <c r="D229" s="182"/>
      <c r="E229" s="182"/>
      <c r="F229" s="182"/>
      <c r="G229" s="263"/>
      <c r="H229" s="182"/>
      <c r="I229" s="182"/>
      <c r="J229" s="182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</row>
    <row r="230">
      <c r="A230" s="182"/>
      <c r="B230" s="182"/>
      <c r="C230" s="182"/>
      <c r="D230" s="182"/>
      <c r="E230" s="182"/>
      <c r="F230" s="182"/>
      <c r="G230" s="263"/>
      <c r="H230" s="182"/>
      <c r="I230" s="182"/>
      <c r="J230" s="182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</row>
    <row r="231">
      <c r="A231" s="182"/>
      <c r="B231" s="182"/>
      <c r="C231" s="182"/>
      <c r="D231" s="182"/>
      <c r="E231" s="182"/>
      <c r="F231" s="182"/>
      <c r="G231" s="263"/>
      <c r="H231" s="182"/>
      <c r="I231" s="182"/>
      <c r="J231" s="182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</row>
    <row r="232">
      <c r="A232" s="182"/>
      <c r="B232" s="182"/>
      <c r="C232" s="182"/>
      <c r="D232" s="182"/>
      <c r="E232" s="182"/>
      <c r="F232" s="182"/>
      <c r="G232" s="263"/>
      <c r="H232" s="182"/>
      <c r="I232" s="182"/>
      <c r="J232" s="182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</row>
    <row r="233">
      <c r="A233" s="182"/>
      <c r="B233" s="182"/>
      <c r="C233" s="182"/>
      <c r="D233" s="182"/>
      <c r="E233" s="182"/>
      <c r="F233" s="182"/>
      <c r="G233" s="263"/>
      <c r="H233" s="182"/>
      <c r="I233" s="182"/>
      <c r="J233" s="182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</row>
    <row r="234">
      <c r="A234" s="182"/>
      <c r="B234" s="182"/>
      <c r="C234" s="182"/>
      <c r="D234" s="182"/>
      <c r="E234" s="182"/>
      <c r="F234" s="182"/>
      <c r="G234" s="263"/>
      <c r="H234" s="182"/>
      <c r="I234" s="182"/>
      <c r="J234" s="182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</row>
    <row r="235">
      <c r="A235" s="182"/>
      <c r="B235" s="182"/>
      <c r="C235" s="182"/>
      <c r="D235" s="182"/>
      <c r="E235" s="182"/>
      <c r="F235" s="182"/>
      <c r="G235" s="263"/>
      <c r="H235" s="182"/>
      <c r="I235" s="182"/>
      <c r="J235" s="182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</row>
    <row r="236">
      <c r="A236" s="182"/>
      <c r="B236" s="182"/>
      <c r="C236" s="182"/>
      <c r="D236" s="182"/>
      <c r="E236" s="182"/>
      <c r="F236" s="182"/>
      <c r="G236" s="263"/>
      <c r="H236" s="182"/>
      <c r="I236" s="182"/>
      <c r="J236" s="182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</row>
    <row r="237">
      <c r="A237" s="182"/>
      <c r="B237" s="182"/>
      <c r="C237" s="182"/>
      <c r="D237" s="182"/>
      <c r="E237" s="182"/>
      <c r="F237" s="182"/>
      <c r="G237" s="263"/>
      <c r="H237" s="182"/>
      <c r="I237" s="182"/>
      <c r="J237" s="182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</row>
    <row r="238">
      <c r="A238" s="182"/>
      <c r="B238" s="182"/>
      <c r="C238" s="182"/>
      <c r="D238" s="182"/>
      <c r="E238" s="182"/>
      <c r="F238" s="182"/>
      <c r="G238" s="263"/>
      <c r="H238" s="182"/>
      <c r="I238" s="182"/>
      <c r="J238" s="182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</row>
    <row r="239">
      <c r="A239" s="182"/>
      <c r="B239" s="182"/>
      <c r="C239" s="182"/>
      <c r="D239" s="182"/>
      <c r="E239" s="182"/>
      <c r="F239" s="182"/>
      <c r="G239" s="263"/>
      <c r="H239" s="182"/>
      <c r="I239" s="182"/>
      <c r="J239" s="182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</row>
    <row r="240">
      <c r="A240" s="182"/>
      <c r="B240" s="182"/>
      <c r="C240" s="182"/>
      <c r="D240" s="182"/>
      <c r="E240" s="182"/>
      <c r="F240" s="182"/>
      <c r="G240" s="263"/>
      <c r="H240" s="182"/>
      <c r="I240" s="182"/>
      <c r="J240" s="182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</row>
    <row r="241">
      <c r="A241" s="182"/>
      <c r="B241" s="182"/>
      <c r="C241" s="182"/>
      <c r="D241" s="182"/>
      <c r="E241" s="182"/>
      <c r="F241" s="182"/>
      <c r="G241" s="263"/>
      <c r="H241" s="182"/>
      <c r="I241" s="182"/>
      <c r="J241" s="182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</row>
    <row r="242">
      <c r="A242" s="182"/>
      <c r="B242" s="182"/>
      <c r="C242" s="182"/>
      <c r="D242" s="182"/>
      <c r="E242" s="182"/>
      <c r="F242" s="182"/>
      <c r="G242" s="263"/>
      <c r="H242" s="182"/>
      <c r="I242" s="182"/>
      <c r="J242" s="182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</row>
    <row r="243">
      <c r="A243" s="182"/>
      <c r="B243" s="182"/>
      <c r="C243" s="182"/>
      <c r="D243" s="182"/>
      <c r="E243" s="182"/>
      <c r="F243" s="182"/>
      <c r="G243" s="263"/>
      <c r="H243" s="182"/>
      <c r="I243" s="182"/>
      <c r="J243" s="182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</row>
    <row r="244">
      <c r="A244" s="182"/>
      <c r="B244" s="182"/>
      <c r="C244" s="182"/>
      <c r="D244" s="182"/>
      <c r="E244" s="182"/>
      <c r="F244" s="182"/>
      <c r="G244" s="263"/>
      <c r="H244" s="182"/>
      <c r="I244" s="182"/>
      <c r="J244" s="182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</row>
    <row r="245">
      <c r="A245" s="182"/>
      <c r="B245" s="182"/>
      <c r="C245" s="182"/>
      <c r="D245" s="182"/>
      <c r="E245" s="182"/>
      <c r="F245" s="182"/>
      <c r="G245" s="263"/>
      <c r="H245" s="182"/>
      <c r="I245" s="182"/>
      <c r="J245" s="182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</row>
    <row r="246">
      <c r="A246" s="182"/>
      <c r="B246" s="182"/>
      <c r="C246" s="182"/>
      <c r="D246" s="182"/>
      <c r="E246" s="182"/>
      <c r="F246" s="182"/>
      <c r="G246" s="263"/>
      <c r="H246" s="182"/>
      <c r="I246" s="182"/>
      <c r="J246" s="182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</row>
    <row r="247">
      <c r="A247" s="182"/>
      <c r="B247" s="182"/>
      <c r="C247" s="182"/>
      <c r="D247" s="182"/>
      <c r="E247" s="182"/>
      <c r="F247" s="182"/>
      <c r="G247" s="263"/>
      <c r="H247" s="182"/>
      <c r="I247" s="182"/>
      <c r="J247" s="182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</row>
    <row r="248">
      <c r="A248" s="182"/>
      <c r="B248" s="182"/>
      <c r="C248" s="182"/>
      <c r="D248" s="182"/>
      <c r="E248" s="182"/>
      <c r="F248" s="182"/>
      <c r="G248" s="263"/>
      <c r="H248" s="182"/>
      <c r="I248" s="182"/>
      <c r="J248" s="182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</row>
    <row r="249">
      <c r="A249" s="182"/>
      <c r="B249" s="182"/>
      <c r="C249" s="182"/>
      <c r="D249" s="182"/>
      <c r="E249" s="182"/>
      <c r="F249" s="182"/>
      <c r="G249" s="263"/>
      <c r="H249" s="182"/>
      <c r="I249" s="182"/>
      <c r="J249" s="182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</row>
    <row r="250">
      <c r="A250" s="182"/>
      <c r="B250" s="182"/>
      <c r="C250" s="182"/>
      <c r="D250" s="182"/>
      <c r="E250" s="182"/>
      <c r="F250" s="182"/>
      <c r="G250" s="263"/>
      <c r="H250" s="182"/>
      <c r="I250" s="182"/>
      <c r="J250" s="182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</row>
    <row r="251">
      <c r="A251" s="182"/>
      <c r="B251" s="182"/>
      <c r="C251" s="182"/>
      <c r="D251" s="182"/>
      <c r="E251" s="182"/>
      <c r="F251" s="182"/>
      <c r="G251" s="263"/>
      <c r="H251" s="182"/>
      <c r="I251" s="182"/>
      <c r="J251" s="182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</row>
    <row r="252">
      <c r="A252" s="182"/>
      <c r="B252" s="182"/>
      <c r="C252" s="182"/>
      <c r="D252" s="182"/>
      <c r="E252" s="182"/>
      <c r="F252" s="182"/>
      <c r="G252" s="263"/>
      <c r="H252" s="182"/>
      <c r="I252" s="182"/>
      <c r="J252" s="182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</row>
    <row r="253">
      <c r="A253" s="182"/>
      <c r="B253" s="182"/>
      <c r="C253" s="182"/>
      <c r="D253" s="182"/>
      <c r="E253" s="182"/>
      <c r="F253" s="182"/>
      <c r="G253" s="263"/>
      <c r="H253" s="182"/>
      <c r="I253" s="182"/>
      <c r="J253" s="182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</row>
    <row r="254">
      <c r="A254" s="182"/>
      <c r="B254" s="182"/>
      <c r="C254" s="182"/>
      <c r="D254" s="182"/>
      <c r="E254" s="182"/>
      <c r="F254" s="182"/>
      <c r="G254" s="263"/>
      <c r="H254" s="182"/>
      <c r="I254" s="182"/>
      <c r="J254" s="182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</row>
    <row r="255">
      <c r="A255" s="182"/>
      <c r="B255" s="182"/>
      <c r="C255" s="182"/>
      <c r="D255" s="182"/>
      <c r="E255" s="182"/>
      <c r="F255" s="182"/>
      <c r="G255" s="263"/>
      <c r="H255" s="182"/>
      <c r="I255" s="182"/>
      <c r="J255" s="182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</row>
    <row r="256">
      <c r="A256" s="182"/>
      <c r="B256" s="182"/>
      <c r="C256" s="182"/>
      <c r="D256" s="182"/>
      <c r="E256" s="182"/>
      <c r="F256" s="182"/>
      <c r="G256" s="263"/>
      <c r="H256" s="182"/>
      <c r="I256" s="182"/>
      <c r="J256" s="182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</row>
    <row r="257">
      <c r="A257" s="182"/>
      <c r="B257" s="182"/>
      <c r="C257" s="182"/>
      <c r="D257" s="182"/>
      <c r="E257" s="182"/>
      <c r="F257" s="182"/>
      <c r="G257" s="263"/>
      <c r="H257" s="182"/>
      <c r="I257" s="182"/>
      <c r="J257" s="182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</row>
    <row r="258">
      <c r="A258" s="182"/>
      <c r="B258" s="182"/>
      <c r="C258" s="182"/>
      <c r="D258" s="182"/>
      <c r="E258" s="182"/>
      <c r="F258" s="182"/>
      <c r="G258" s="263"/>
      <c r="H258" s="182"/>
      <c r="I258" s="182"/>
      <c r="J258" s="182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</row>
    <row r="259">
      <c r="A259" s="182"/>
      <c r="B259" s="182"/>
      <c r="C259" s="182"/>
      <c r="D259" s="182"/>
      <c r="E259" s="182"/>
      <c r="F259" s="182"/>
      <c r="G259" s="263"/>
      <c r="H259" s="182"/>
      <c r="I259" s="182"/>
      <c r="J259" s="182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</row>
    <row r="260">
      <c r="A260" s="182"/>
      <c r="B260" s="182"/>
      <c r="C260" s="182"/>
      <c r="D260" s="182"/>
      <c r="E260" s="182"/>
      <c r="F260" s="182"/>
      <c r="G260" s="263"/>
      <c r="H260" s="182"/>
      <c r="I260" s="182"/>
      <c r="J260" s="182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</row>
    <row r="261">
      <c r="A261" s="182"/>
      <c r="B261" s="182"/>
      <c r="C261" s="182"/>
      <c r="D261" s="182"/>
      <c r="E261" s="182"/>
      <c r="F261" s="182"/>
      <c r="G261" s="263"/>
      <c r="H261" s="182"/>
      <c r="I261" s="182"/>
      <c r="J261" s="182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</row>
    <row r="262">
      <c r="A262" s="182"/>
      <c r="B262" s="182"/>
      <c r="C262" s="182"/>
      <c r="D262" s="182"/>
      <c r="E262" s="182"/>
      <c r="F262" s="182"/>
      <c r="G262" s="263"/>
      <c r="H262" s="182"/>
      <c r="I262" s="182"/>
      <c r="J262" s="182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</row>
    <row r="263">
      <c r="A263" s="182"/>
      <c r="B263" s="182"/>
      <c r="C263" s="182"/>
      <c r="D263" s="182"/>
      <c r="E263" s="182"/>
      <c r="F263" s="182"/>
      <c r="G263" s="263"/>
      <c r="H263" s="182"/>
      <c r="I263" s="182"/>
      <c r="J263" s="182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</row>
    <row r="264">
      <c r="A264" s="182"/>
      <c r="B264" s="182"/>
      <c r="C264" s="182"/>
      <c r="D264" s="182"/>
      <c r="E264" s="182"/>
      <c r="F264" s="182"/>
      <c r="G264" s="263"/>
      <c r="H264" s="182"/>
      <c r="I264" s="182"/>
      <c r="J264" s="182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</row>
    <row r="265">
      <c r="A265" s="182"/>
      <c r="B265" s="182"/>
      <c r="C265" s="182"/>
      <c r="D265" s="182"/>
      <c r="E265" s="182"/>
      <c r="F265" s="182"/>
      <c r="G265" s="263"/>
      <c r="H265" s="182"/>
      <c r="I265" s="182"/>
      <c r="J265" s="182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</row>
    <row r="266">
      <c r="A266" s="182"/>
      <c r="B266" s="182"/>
      <c r="C266" s="182"/>
      <c r="D266" s="182"/>
      <c r="E266" s="182"/>
      <c r="F266" s="182"/>
      <c r="G266" s="263"/>
      <c r="H266" s="182"/>
      <c r="I266" s="182"/>
      <c r="J266" s="182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</row>
    <row r="267">
      <c r="A267" s="182"/>
      <c r="B267" s="182"/>
      <c r="C267" s="182"/>
      <c r="D267" s="182"/>
      <c r="E267" s="182"/>
      <c r="F267" s="182"/>
      <c r="G267" s="263"/>
      <c r="H267" s="182"/>
      <c r="I267" s="182"/>
      <c r="J267" s="182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</row>
    <row r="268">
      <c r="A268" s="182"/>
      <c r="B268" s="182"/>
      <c r="C268" s="182"/>
      <c r="D268" s="182"/>
      <c r="E268" s="182"/>
      <c r="F268" s="182"/>
      <c r="G268" s="263"/>
      <c r="H268" s="182"/>
      <c r="I268" s="182"/>
      <c r="J268" s="182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</row>
    <row r="269">
      <c r="A269" s="182"/>
      <c r="B269" s="182"/>
      <c r="C269" s="182"/>
      <c r="D269" s="182"/>
      <c r="E269" s="182"/>
      <c r="F269" s="182"/>
      <c r="G269" s="263"/>
      <c r="H269" s="182"/>
      <c r="I269" s="182"/>
      <c r="J269" s="182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</row>
    <row r="270">
      <c r="A270" s="182"/>
      <c r="B270" s="182"/>
      <c r="C270" s="182"/>
      <c r="D270" s="182"/>
      <c r="E270" s="182"/>
      <c r="F270" s="182"/>
      <c r="G270" s="263"/>
      <c r="H270" s="182"/>
      <c r="I270" s="182"/>
      <c r="J270" s="182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</row>
    <row r="271">
      <c r="A271" s="182"/>
      <c r="B271" s="182"/>
      <c r="C271" s="182"/>
      <c r="D271" s="182"/>
      <c r="E271" s="182"/>
      <c r="F271" s="182"/>
      <c r="G271" s="263"/>
      <c r="H271" s="182"/>
      <c r="I271" s="182"/>
      <c r="J271" s="182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</row>
    <row r="272">
      <c r="A272" s="182"/>
      <c r="B272" s="182"/>
      <c r="C272" s="182"/>
      <c r="D272" s="182"/>
      <c r="E272" s="182"/>
      <c r="F272" s="182"/>
      <c r="G272" s="263"/>
      <c r="H272" s="182"/>
      <c r="I272" s="182"/>
      <c r="J272" s="182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</row>
    <row r="273">
      <c r="A273" s="182"/>
      <c r="B273" s="182"/>
      <c r="C273" s="182"/>
      <c r="D273" s="182"/>
      <c r="E273" s="182"/>
      <c r="F273" s="182"/>
      <c r="G273" s="263"/>
      <c r="H273" s="182"/>
      <c r="I273" s="182"/>
      <c r="J273" s="182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</row>
    <row r="274">
      <c r="A274" s="182"/>
      <c r="B274" s="182"/>
      <c r="C274" s="182"/>
      <c r="D274" s="182"/>
      <c r="E274" s="182"/>
      <c r="F274" s="182"/>
      <c r="G274" s="263"/>
      <c r="H274" s="182"/>
      <c r="I274" s="182"/>
      <c r="J274" s="182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</row>
    <row r="275">
      <c r="A275" s="182"/>
      <c r="B275" s="182"/>
      <c r="C275" s="182"/>
      <c r="D275" s="182"/>
      <c r="E275" s="182"/>
      <c r="F275" s="182"/>
      <c r="G275" s="263"/>
      <c r="H275" s="182"/>
      <c r="I275" s="182"/>
      <c r="J275" s="182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</row>
    <row r="276">
      <c r="A276" s="182"/>
      <c r="B276" s="182"/>
      <c r="C276" s="182"/>
      <c r="D276" s="182"/>
      <c r="E276" s="182"/>
      <c r="F276" s="182"/>
      <c r="G276" s="263"/>
      <c r="H276" s="182"/>
      <c r="I276" s="182"/>
      <c r="J276" s="182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</row>
    <row r="277">
      <c r="A277" s="182"/>
      <c r="B277" s="182"/>
      <c r="C277" s="182"/>
      <c r="D277" s="182"/>
      <c r="E277" s="182"/>
      <c r="F277" s="182"/>
      <c r="G277" s="263"/>
      <c r="H277" s="182"/>
      <c r="I277" s="182"/>
      <c r="J277" s="182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</row>
    <row r="278">
      <c r="A278" s="182"/>
      <c r="B278" s="182"/>
      <c r="C278" s="182"/>
      <c r="D278" s="182"/>
      <c r="E278" s="182"/>
      <c r="F278" s="182"/>
      <c r="G278" s="263"/>
      <c r="H278" s="182"/>
      <c r="I278" s="182"/>
      <c r="J278" s="182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</row>
    <row r="279">
      <c r="A279" s="182"/>
      <c r="B279" s="182"/>
      <c r="C279" s="182"/>
      <c r="D279" s="182"/>
      <c r="E279" s="182"/>
      <c r="F279" s="182"/>
      <c r="G279" s="263"/>
      <c r="H279" s="182"/>
      <c r="I279" s="182"/>
      <c r="J279" s="182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</row>
    <row r="280">
      <c r="A280" s="182"/>
      <c r="B280" s="182"/>
      <c r="C280" s="182"/>
      <c r="D280" s="182"/>
      <c r="E280" s="182"/>
      <c r="F280" s="182"/>
      <c r="G280" s="263"/>
      <c r="H280" s="182"/>
      <c r="I280" s="182"/>
      <c r="J280" s="182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</row>
    <row r="281">
      <c r="A281" s="182"/>
      <c r="B281" s="182"/>
      <c r="C281" s="182"/>
      <c r="D281" s="182"/>
      <c r="E281" s="182"/>
      <c r="F281" s="182"/>
      <c r="G281" s="263"/>
      <c r="H281" s="182"/>
      <c r="I281" s="182"/>
      <c r="J281" s="182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</row>
    <row r="282">
      <c r="A282" s="182"/>
      <c r="B282" s="182"/>
      <c r="C282" s="182"/>
      <c r="D282" s="182"/>
      <c r="E282" s="182"/>
      <c r="F282" s="182"/>
      <c r="G282" s="263"/>
      <c r="H282" s="182"/>
      <c r="I282" s="182"/>
      <c r="J282" s="182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</row>
    <row r="283">
      <c r="A283" s="182"/>
      <c r="B283" s="182"/>
      <c r="C283" s="182"/>
      <c r="D283" s="182"/>
      <c r="E283" s="182"/>
      <c r="F283" s="182"/>
      <c r="G283" s="263"/>
      <c r="H283" s="182"/>
      <c r="I283" s="182"/>
      <c r="J283" s="182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</row>
    <row r="284">
      <c r="A284" s="182"/>
      <c r="B284" s="182"/>
      <c r="C284" s="182"/>
      <c r="D284" s="182"/>
      <c r="E284" s="182"/>
      <c r="F284" s="182"/>
      <c r="G284" s="263"/>
      <c r="H284" s="182"/>
      <c r="I284" s="182"/>
      <c r="J284" s="182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</row>
    <row r="285">
      <c r="A285" s="182"/>
      <c r="B285" s="182"/>
      <c r="C285" s="182"/>
      <c r="D285" s="182"/>
      <c r="E285" s="182"/>
      <c r="F285" s="182"/>
      <c r="G285" s="263"/>
      <c r="H285" s="182"/>
      <c r="I285" s="182"/>
      <c r="J285" s="182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</row>
    <row r="286">
      <c r="A286" s="182"/>
      <c r="B286" s="182"/>
      <c r="C286" s="182"/>
      <c r="D286" s="182"/>
      <c r="E286" s="182"/>
      <c r="F286" s="182"/>
      <c r="G286" s="263"/>
      <c r="H286" s="182"/>
      <c r="I286" s="182"/>
      <c r="J286" s="182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</row>
    <row r="287">
      <c r="A287" s="182"/>
      <c r="B287" s="182"/>
      <c r="C287" s="182"/>
      <c r="D287" s="182"/>
      <c r="E287" s="182"/>
      <c r="F287" s="182"/>
      <c r="G287" s="263"/>
      <c r="H287" s="182"/>
      <c r="I287" s="182"/>
      <c r="J287" s="182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</row>
    <row r="288">
      <c r="A288" s="182"/>
      <c r="B288" s="182"/>
      <c r="C288" s="182"/>
      <c r="D288" s="182"/>
      <c r="E288" s="182"/>
      <c r="F288" s="182"/>
      <c r="G288" s="263"/>
      <c r="H288" s="182"/>
      <c r="I288" s="182"/>
      <c r="J288" s="182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</row>
    <row r="289">
      <c r="A289" s="182"/>
      <c r="B289" s="182"/>
      <c r="C289" s="182"/>
      <c r="D289" s="182"/>
      <c r="E289" s="182"/>
      <c r="F289" s="182"/>
      <c r="G289" s="263"/>
      <c r="H289" s="182"/>
      <c r="I289" s="182"/>
      <c r="J289" s="182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</row>
    <row r="290">
      <c r="A290" s="182"/>
      <c r="B290" s="182"/>
      <c r="C290" s="182"/>
      <c r="D290" s="182"/>
      <c r="E290" s="182"/>
      <c r="F290" s="182"/>
      <c r="G290" s="263"/>
      <c r="H290" s="182"/>
      <c r="I290" s="182"/>
      <c r="J290" s="182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</row>
    <row r="291">
      <c r="A291" s="182"/>
      <c r="B291" s="182"/>
      <c r="C291" s="182"/>
      <c r="D291" s="182"/>
      <c r="E291" s="182"/>
      <c r="F291" s="182"/>
      <c r="G291" s="263"/>
      <c r="H291" s="182"/>
      <c r="I291" s="182"/>
      <c r="J291" s="182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</row>
    <row r="292">
      <c r="A292" s="182"/>
      <c r="B292" s="182"/>
      <c r="C292" s="182"/>
      <c r="D292" s="182"/>
      <c r="E292" s="182"/>
      <c r="F292" s="182"/>
      <c r="G292" s="263"/>
      <c r="H292" s="182"/>
      <c r="I292" s="182"/>
      <c r="J292" s="182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</row>
    <row r="293">
      <c r="A293" s="182"/>
      <c r="B293" s="182"/>
      <c r="C293" s="182"/>
      <c r="D293" s="182"/>
      <c r="E293" s="182"/>
      <c r="F293" s="182"/>
      <c r="G293" s="263"/>
      <c r="H293" s="182"/>
      <c r="I293" s="182"/>
      <c r="J293" s="182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</row>
    <row r="294">
      <c r="A294" s="182"/>
      <c r="B294" s="182"/>
      <c r="C294" s="182"/>
      <c r="D294" s="182"/>
      <c r="E294" s="182"/>
      <c r="F294" s="182"/>
      <c r="G294" s="263"/>
      <c r="H294" s="182"/>
      <c r="I294" s="182"/>
      <c r="J294" s="182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</row>
    <row r="295">
      <c r="A295" s="182"/>
      <c r="B295" s="182"/>
      <c r="C295" s="182"/>
      <c r="D295" s="182"/>
      <c r="E295" s="182"/>
      <c r="F295" s="182"/>
      <c r="G295" s="263"/>
      <c r="H295" s="182"/>
      <c r="I295" s="182"/>
      <c r="J295" s="182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</row>
    <row r="296">
      <c r="A296" s="182"/>
      <c r="B296" s="182"/>
      <c r="C296" s="182"/>
      <c r="D296" s="182"/>
      <c r="E296" s="182"/>
      <c r="F296" s="182"/>
      <c r="G296" s="263"/>
      <c r="H296" s="182"/>
      <c r="I296" s="182"/>
      <c r="J296" s="182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</row>
    <row r="297">
      <c r="A297" s="182"/>
      <c r="B297" s="182"/>
      <c r="C297" s="182"/>
      <c r="D297" s="182"/>
      <c r="E297" s="182"/>
      <c r="F297" s="182"/>
      <c r="G297" s="263"/>
      <c r="H297" s="182"/>
      <c r="I297" s="182"/>
      <c r="J297" s="182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</row>
    <row r="298">
      <c r="A298" s="182"/>
      <c r="B298" s="182"/>
      <c r="C298" s="182"/>
      <c r="D298" s="182"/>
      <c r="E298" s="182"/>
      <c r="F298" s="182"/>
      <c r="G298" s="263"/>
      <c r="H298" s="182"/>
      <c r="I298" s="182"/>
      <c r="J298" s="182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</row>
    <row r="299">
      <c r="A299" s="182"/>
      <c r="B299" s="182"/>
      <c r="C299" s="182"/>
      <c r="D299" s="182"/>
      <c r="E299" s="182"/>
      <c r="F299" s="182"/>
      <c r="G299" s="263"/>
      <c r="H299" s="182"/>
      <c r="I299" s="182"/>
      <c r="J299" s="182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</row>
    <row r="300">
      <c r="A300" s="182"/>
      <c r="B300" s="182"/>
      <c r="C300" s="182"/>
      <c r="D300" s="182"/>
      <c r="E300" s="182"/>
      <c r="F300" s="182"/>
      <c r="G300" s="263"/>
      <c r="H300" s="182"/>
      <c r="I300" s="182"/>
      <c r="J300" s="182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</row>
    <row r="301">
      <c r="A301" s="182"/>
      <c r="B301" s="182"/>
      <c r="C301" s="182"/>
      <c r="D301" s="182"/>
      <c r="E301" s="182"/>
      <c r="F301" s="182"/>
      <c r="G301" s="263"/>
      <c r="H301" s="182"/>
      <c r="I301" s="182"/>
      <c r="J301" s="182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</row>
    <row r="302">
      <c r="A302" s="182"/>
      <c r="B302" s="182"/>
      <c r="C302" s="182"/>
      <c r="D302" s="182"/>
      <c r="E302" s="182"/>
      <c r="F302" s="182"/>
      <c r="G302" s="263"/>
      <c r="H302" s="182"/>
      <c r="I302" s="182"/>
      <c r="J302" s="182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</row>
    <row r="303">
      <c r="A303" s="182"/>
      <c r="B303" s="182"/>
      <c r="C303" s="182"/>
      <c r="D303" s="182"/>
      <c r="E303" s="182"/>
      <c r="F303" s="182"/>
      <c r="G303" s="263"/>
      <c r="H303" s="182"/>
      <c r="I303" s="182"/>
      <c r="J303" s="182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</row>
    <row r="304">
      <c r="A304" s="182"/>
      <c r="B304" s="182"/>
      <c r="C304" s="182"/>
      <c r="D304" s="182"/>
      <c r="E304" s="182"/>
      <c r="F304" s="182"/>
      <c r="G304" s="263"/>
      <c r="H304" s="182"/>
      <c r="I304" s="182"/>
      <c r="J304" s="182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</row>
    <row r="305">
      <c r="A305" s="182"/>
      <c r="B305" s="182"/>
      <c r="C305" s="182"/>
      <c r="D305" s="182"/>
      <c r="E305" s="182"/>
      <c r="F305" s="182"/>
      <c r="G305" s="263"/>
      <c r="H305" s="182"/>
      <c r="I305" s="182"/>
      <c r="J305" s="182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</row>
    <row r="306">
      <c r="A306" s="182"/>
      <c r="B306" s="182"/>
      <c r="C306" s="182"/>
      <c r="D306" s="182"/>
      <c r="E306" s="182"/>
      <c r="F306" s="182"/>
      <c r="G306" s="263"/>
      <c r="H306" s="182"/>
      <c r="I306" s="182"/>
      <c r="J306" s="182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</row>
    <row r="307">
      <c r="A307" s="182"/>
      <c r="B307" s="182"/>
      <c r="C307" s="182"/>
      <c r="D307" s="182"/>
      <c r="E307" s="182"/>
      <c r="F307" s="182"/>
      <c r="G307" s="263"/>
      <c r="H307" s="182"/>
      <c r="I307" s="182"/>
      <c r="J307" s="182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</row>
    <row r="308">
      <c r="A308" s="182"/>
      <c r="B308" s="182"/>
      <c r="C308" s="182"/>
      <c r="D308" s="182"/>
      <c r="E308" s="182"/>
      <c r="F308" s="182"/>
      <c r="G308" s="263"/>
      <c r="H308" s="182"/>
      <c r="I308" s="182"/>
      <c r="J308" s="182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</row>
    <row r="309">
      <c r="A309" s="182"/>
      <c r="B309" s="182"/>
      <c r="C309" s="182"/>
      <c r="D309" s="182"/>
      <c r="E309" s="182"/>
      <c r="F309" s="182"/>
      <c r="G309" s="263"/>
      <c r="H309" s="182"/>
      <c r="I309" s="182"/>
      <c r="J309" s="182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</row>
    <row r="310">
      <c r="A310" s="182"/>
      <c r="B310" s="182"/>
      <c r="C310" s="182"/>
      <c r="D310" s="182"/>
      <c r="E310" s="182"/>
      <c r="F310" s="182"/>
      <c r="G310" s="263"/>
      <c r="H310" s="182"/>
      <c r="I310" s="182"/>
      <c r="J310" s="182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</row>
    <row r="311">
      <c r="A311" s="182"/>
      <c r="B311" s="182"/>
      <c r="C311" s="182"/>
      <c r="D311" s="182"/>
      <c r="E311" s="182"/>
      <c r="F311" s="182"/>
      <c r="G311" s="263"/>
      <c r="H311" s="182"/>
      <c r="I311" s="182"/>
      <c r="J311" s="182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</row>
    <row r="312">
      <c r="A312" s="182"/>
      <c r="B312" s="182"/>
      <c r="C312" s="182"/>
      <c r="D312" s="182"/>
      <c r="E312" s="182"/>
      <c r="F312" s="182"/>
      <c r="G312" s="263"/>
      <c r="H312" s="182"/>
      <c r="I312" s="182"/>
      <c r="J312" s="182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</row>
    <row r="313">
      <c r="A313" s="182"/>
      <c r="B313" s="182"/>
      <c r="C313" s="182"/>
      <c r="D313" s="182"/>
      <c r="E313" s="182"/>
      <c r="F313" s="182"/>
      <c r="G313" s="263"/>
      <c r="H313" s="182"/>
      <c r="I313" s="182"/>
      <c r="J313" s="182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</row>
    <row r="314">
      <c r="A314" s="182"/>
      <c r="B314" s="182"/>
      <c r="C314" s="182"/>
      <c r="D314" s="182"/>
      <c r="E314" s="182"/>
      <c r="F314" s="182"/>
      <c r="G314" s="263"/>
      <c r="H314" s="182"/>
      <c r="I314" s="182"/>
      <c r="J314" s="182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</row>
    <row r="315">
      <c r="A315" s="182"/>
      <c r="B315" s="182"/>
      <c r="C315" s="182"/>
      <c r="D315" s="182"/>
      <c r="E315" s="182"/>
      <c r="F315" s="182"/>
      <c r="G315" s="263"/>
      <c r="H315" s="182"/>
      <c r="I315" s="182"/>
      <c r="J315" s="182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</row>
    <row r="316">
      <c r="A316" s="182"/>
      <c r="B316" s="182"/>
      <c r="C316" s="182"/>
      <c r="D316" s="182"/>
      <c r="E316" s="182"/>
      <c r="F316" s="182"/>
      <c r="G316" s="263"/>
      <c r="H316" s="182"/>
      <c r="I316" s="182"/>
      <c r="J316" s="182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</row>
    <row r="317">
      <c r="A317" s="182"/>
      <c r="B317" s="182"/>
      <c r="C317" s="182"/>
      <c r="D317" s="182"/>
      <c r="E317" s="182"/>
      <c r="F317" s="182"/>
      <c r="G317" s="263"/>
      <c r="H317" s="182"/>
      <c r="I317" s="182"/>
      <c r="J317" s="182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</row>
    <row r="318">
      <c r="A318" s="182"/>
      <c r="B318" s="182"/>
      <c r="C318" s="182"/>
      <c r="D318" s="182"/>
      <c r="E318" s="182"/>
      <c r="F318" s="182"/>
      <c r="G318" s="263"/>
      <c r="H318" s="182"/>
      <c r="I318" s="182"/>
      <c r="J318" s="182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</row>
    <row r="319">
      <c r="A319" s="182"/>
      <c r="B319" s="182"/>
      <c r="C319" s="182"/>
      <c r="D319" s="182"/>
      <c r="E319" s="182"/>
      <c r="F319" s="182"/>
      <c r="G319" s="263"/>
      <c r="H319" s="182"/>
      <c r="I319" s="182"/>
      <c r="J319" s="182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</row>
    <row r="320">
      <c r="A320" s="182"/>
      <c r="B320" s="182"/>
      <c r="C320" s="182"/>
      <c r="D320" s="182"/>
      <c r="E320" s="182"/>
      <c r="F320" s="182"/>
      <c r="G320" s="263"/>
      <c r="H320" s="182"/>
      <c r="I320" s="182"/>
      <c r="J320" s="182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</row>
    <row r="321">
      <c r="A321" s="182"/>
      <c r="B321" s="182"/>
      <c r="C321" s="182"/>
      <c r="D321" s="182"/>
      <c r="E321" s="182"/>
      <c r="F321" s="182"/>
      <c r="G321" s="263"/>
      <c r="H321" s="182"/>
      <c r="I321" s="182"/>
      <c r="J321" s="182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</row>
    <row r="322">
      <c r="A322" s="182"/>
      <c r="B322" s="182"/>
      <c r="C322" s="182"/>
      <c r="D322" s="182"/>
      <c r="E322" s="182"/>
      <c r="F322" s="182"/>
      <c r="G322" s="263"/>
      <c r="H322" s="182"/>
      <c r="I322" s="182"/>
      <c r="J322" s="182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</row>
    <row r="323">
      <c r="A323" s="182"/>
      <c r="B323" s="182"/>
      <c r="C323" s="182"/>
      <c r="D323" s="182"/>
      <c r="E323" s="182"/>
      <c r="F323" s="182"/>
      <c r="G323" s="263"/>
      <c r="H323" s="182"/>
      <c r="I323" s="182"/>
      <c r="J323" s="182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</row>
    <row r="324">
      <c r="A324" s="182"/>
      <c r="B324" s="182"/>
      <c r="C324" s="182"/>
      <c r="D324" s="182"/>
      <c r="E324" s="182"/>
      <c r="F324" s="182"/>
      <c r="G324" s="263"/>
      <c r="H324" s="182"/>
      <c r="I324" s="182"/>
      <c r="J324" s="182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</row>
    <row r="325">
      <c r="A325" s="182"/>
      <c r="B325" s="182"/>
      <c r="C325" s="182"/>
      <c r="D325" s="182"/>
      <c r="E325" s="182"/>
      <c r="F325" s="182"/>
      <c r="G325" s="263"/>
      <c r="H325" s="182"/>
      <c r="I325" s="182"/>
      <c r="J325" s="182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</row>
    <row r="326">
      <c r="A326" s="182"/>
      <c r="B326" s="182"/>
      <c r="C326" s="182"/>
      <c r="D326" s="182"/>
      <c r="E326" s="182"/>
      <c r="F326" s="182"/>
      <c r="G326" s="263"/>
      <c r="H326" s="182"/>
      <c r="I326" s="182"/>
      <c r="J326" s="182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</row>
    <row r="327">
      <c r="A327" s="182"/>
      <c r="B327" s="182"/>
      <c r="C327" s="182"/>
      <c r="D327" s="182"/>
      <c r="E327" s="182"/>
      <c r="F327" s="182"/>
      <c r="G327" s="263"/>
      <c r="H327" s="182"/>
      <c r="I327" s="182"/>
      <c r="J327" s="182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</row>
    <row r="328">
      <c r="A328" s="182"/>
      <c r="B328" s="182"/>
      <c r="C328" s="182"/>
      <c r="D328" s="182"/>
      <c r="E328" s="182"/>
      <c r="F328" s="182"/>
      <c r="G328" s="263"/>
      <c r="H328" s="182"/>
      <c r="I328" s="182"/>
      <c r="J328" s="182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</row>
    <row r="329">
      <c r="A329" s="182"/>
      <c r="B329" s="182"/>
      <c r="C329" s="182"/>
      <c r="D329" s="182"/>
      <c r="E329" s="182"/>
      <c r="F329" s="182"/>
      <c r="G329" s="263"/>
      <c r="H329" s="182"/>
      <c r="I329" s="182"/>
      <c r="J329" s="182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</row>
    <row r="330">
      <c r="A330" s="182"/>
      <c r="B330" s="182"/>
      <c r="C330" s="182"/>
      <c r="D330" s="182"/>
      <c r="E330" s="182"/>
      <c r="F330" s="182"/>
      <c r="G330" s="263"/>
      <c r="H330" s="182"/>
      <c r="I330" s="182"/>
      <c r="J330" s="182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</row>
    <row r="331">
      <c r="A331" s="182"/>
      <c r="B331" s="182"/>
      <c r="C331" s="182"/>
      <c r="D331" s="182"/>
      <c r="E331" s="182"/>
      <c r="F331" s="182"/>
      <c r="G331" s="263"/>
      <c r="H331" s="182"/>
      <c r="I331" s="182"/>
      <c r="J331" s="182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</row>
    <row r="332">
      <c r="A332" s="182"/>
      <c r="B332" s="182"/>
      <c r="C332" s="182"/>
      <c r="D332" s="182"/>
      <c r="E332" s="182"/>
      <c r="F332" s="182"/>
      <c r="G332" s="263"/>
      <c r="H332" s="182"/>
      <c r="I332" s="182"/>
      <c r="J332" s="182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</row>
    <row r="333">
      <c r="A333" s="182"/>
      <c r="B333" s="182"/>
      <c r="C333" s="182"/>
      <c r="D333" s="182"/>
      <c r="E333" s="182"/>
      <c r="F333" s="182"/>
      <c r="G333" s="263"/>
      <c r="H333" s="182"/>
      <c r="I333" s="182"/>
      <c r="J333" s="182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</row>
    <row r="334">
      <c r="A334" s="182"/>
      <c r="B334" s="182"/>
      <c r="C334" s="182"/>
      <c r="D334" s="182"/>
      <c r="E334" s="182"/>
      <c r="F334" s="182"/>
      <c r="G334" s="263"/>
      <c r="H334" s="182"/>
      <c r="I334" s="182"/>
      <c r="J334" s="182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</row>
    <row r="335">
      <c r="A335" s="182"/>
      <c r="B335" s="182"/>
      <c r="C335" s="182"/>
      <c r="D335" s="182"/>
      <c r="E335" s="182"/>
      <c r="F335" s="182"/>
      <c r="G335" s="263"/>
      <c r="H335" s="182"/>
      <c r="I335" s="182"/>
      <c r="J335" s="182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</row>
    <row r="336">
      <c r="A336" s="182"/>
      <c r="B336" s="182"/>
      <c r="C336" s="182"/>
      <c r="D336" s="182"/>
      <c r="E336" s="182"/>
      <c r="F336" s="182"/>
      <c r="G336" s="263"/>
      <c r="H336" s="182"/>
      <c r="I336" s="182"/>
      <c r="J336" s="182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</row>
    <row r="337">
      <c r="A337" s="182"/>
      <c r="B337" s="182"/>
      <c r="C337" s="182"/>
      <c r="D337" s="182"/>
      <c r="E337" s="182"/>
      <c r="F337" s="182"/>
      <c r="G337" s="263"/>
      <c r="H337" s="182"/>
      <c r="I337" s="182"/>
      <c r="J337" s="182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</row>
    <row r="338">
      <c r="A338" s="182"/>
      <c r="B338" s="182"/>
      <c r="C338" s="182"/>
      <c r="D338" s="182"/>
      <c r="E338" s="182"/>
      <c r="F338" s="182"/>
      <c r="G338" s="263"/>
      <c r="H338" s="182"/>
      <c r="I338" s="182"/>
      <c r="J338" s="182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</row>
    <row r="339">
      <c r="A339" s="182"/>
      <c r="B339" s="182"/>
      <c r="C339" s="182"/>
      <c r="D339" s="182"/>
      <c r="E339" s="182"/>
      <c r="F339" s="182"/>
      <c r="G339" s="263"/>
      <c r="H339" s="182"/>
      <c r="I339" s="182"/>
      <c r="J339" s="182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</row>
    <row r="340">
      <c r="A340" s="182"/>
      <c r="B340" s="182"/>
      <c r="C340" s="182"/>
      <c r="D340" s="182"/>
      <c r="E340" s="182"/>
      <c r="F340" s="182"/>
      <c r="G340" s="263"/>
      <c r="H340" s="182"/>
      <c r="I340" s="182"/>
      <c r="J340" s="182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</row>
    <row r="341">
      <c r="A341" s="182"/>
      <c r="B341" s="182"/>
      <c r="C341" s="182"/>
      <c r="D341" s="182"/>
      <c r="E341" s="182"/>
      <c r="F341" s="182"/>
      <c r="G341" s="263"/>
      <c r="H341" s="182"/>
      <c r="I341" s="182"/>
      <c r="J341" s="182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</row>
    <row r="342">
      <c r="A342" s="182"/>
      <c r="B342" s="182"/>
      <c r="C342" s="182"/>
      <c r="D342" s="182"/>
      <c r="E342" s="182"/>
      <c r="F342" s="182"/>
      <c r="G342" s="263"/>
      <c r="H342" s="182"/>
      <c r="I342" s="182"/>
      <c r="J342" s="182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</row>
    <row r="343">
      <c r="A343" s="182"/>
      <c r="B343" s="182"/>
      <c r="C343" s="182"/>
      <c r="D343" s="182"/>
      <c r="E343" s="182"/>
      <c r="F343" s="182"/>
      <c r="G343" s="263"/>
      <c r="H343" s="182"/>
      <c r="I343" s="182"/>
      <c r="J343" s="182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</row>
    <row r="344">
      <c r="A344" s="182"/>
      <c r="B344" s="182"/>
      <c r="C344" s="182"/>
      <c r="D344" s="182"/>
      <c r="E344" s="182"/>
      <c r="F344" s="182"/>
      <c r="G344" s="263"/>
      <c r="H344" s="182"/>
      <c r="I344" s="182"/>
      <c r="J344" s="182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</row>
    <row r="345">
      <c r="A345" s="182"/>
      <c r="B345" s="182"/>
      <c r="C345" s="182"/>
      <c r="D345" s="182"/>
      <c r="E345" s="182"/>
      <c r="F345" s="182"/>
      <c r="G345" s="263"/>
      <c r="H345" s="182"/>
      <c r="I345" s="182"/>
      <c r="J345" s="182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</row>
    <row r="346">
      <c r="A346" s="182"/>
      <c r="B346" s="182"/>
      <c r="C346" s="182"/>
      <c r="D346" s="182"/>
      <c r="E346" s="182"/>
      <c r="F346" s="182"/>
      <c r="G346" s="263"/>
      <c r="H346" s="182"/>
      <c r="I346" s="182"/>
      <c r="J346" s="182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</row>
    <row r="347">
      <c r="A347" s="182"/>
      <c r="B347" s="182"/>
      <c r="C347" s="182"/>
      <c r="D347" s="182"/>
      <c r="E347" s="182"/>
      <c r="F347" s="182"/>
      <c r="G347" s="263"/>
      <c r="H347" s="182"/>
      <c r="I347" s="182"/>
      <c r="J347" s="182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</row>
    <row r="348">
      <c r="A348" s="182"/>
      <c r="B348" s="182"/>
      <c r="C348" s="182"/>
      <c r="D348" s="182"/>
      <c r="E348" s="182"/>
      <c r="F348" s="182"/>
      <c r="G348" s="263"/>
      <c r="H348" s="182"/>
      <c r="I348" s="182"/>
      <c r="J348" s="182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</row>
    <row r="349">
      <c r="A349" s="182"/>
      <c r="B349" s="182"/>
      <c r="C349" s="182"/>
      <c r="D349" s="182"/>
      <c r="E349" s="182"/>
      <c r="F349" s="182"/>
      <c r="G349" s="263"/>
      <c r="H349" s="182"/>
      <c r="I349" s="182"/>
      <c r="J349" s="182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</row>
    <row r="350">
      <c r="A350" s="182"/>
      <c r="B350" s="182"/>
      <c r="C350" s="182"/>
      <c r="D350" s="182"/>
      <c r="E350" s="182"/>
      <c r="F350" s="182"/>
      <c r="G350" s="263"/>
      <c r="H350" s="182"/>
      <c r="I350" s="182"/>
      <c r="J350" s="182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</row>
    <row r="351">
      <c r="A351" s="182"/>
      <c r="B351" s="182"/>
      <c r="C351" s="182"/>
      <c r="D351" s="182"/>
      <c r="E351" s="182"/>
      <c r="F351" s="182"/>
      <c r="G351" s="263"/>
      <c r="H351" s="182"/>
      <c r="I351" s="182"/>
      <c r="J351" s="182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</row>
    <row r="352">
      <c r="A352" s="182"/>
      <c r="B352" s="182"/>
      <c r="C352" s="182"/>
      <c r="D352" s="182"/>
      <c r="E352" s="182"/>
      <c r="F352" s="182"/>
      <c r="G352" s="263"/>
      <c r="H352" s="182"/>
      <c r="I352" s="182"/>
      <c r="J352" s="182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</row>
    <row r="353">
      <c r="A353" s="182"/>
      <c r="B353" s="182"/>
      <c r="C353" s="182"/>
      <c r="D353" s="182"/>
      <c r="E353" s="182"/>
      <c r="F353" s="182"/>
      <c r="G353" s="263"/>
      <c r="H353" s="182"/>
      <c r="I353" s="182"/>
      <c r="J353" s="182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</row>
    <row r="354">
      <c r="A354" s="182"/>
      <c r="B354" s="182"/>
      <c r="C354" s="182"/>
      <c r="D354" s="182"/>
      <c r="E354" s="182"/>
      <c r="F354" s="182"/>
      <c r="G354" s="263"/>
      <c r="H354" s="182"/>
      <c r="I354" s="182"/>
      <c r="J354" s="182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</row>
    <row r="355">
      <c r="A355" s="182"/>
      <c r="B355" s="182"/>
      <c r="C355" s="182"/>
      <c r="D355" s="182"/>
      <c r="E355" s="182"/>
      <c r="F355" s="182"/>
      <c r="G355" s="263"/>
      <c r="H355" s="182"/>
      <c r="I355" s="182"/>
      <c r="J355" s="182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</row>
    <row r="356">
      <c r="A356" s="182"/>
      <c r="B356" s="182"/>
      <c r="C356" s="182"/>
      <c r="D356" s="182"/>
      <c r="E356" s="182"/>
      <c r="F356" s="182"/>
      <c r="G356" s="263"/>
      <c r="H356" s="182"/>
      <c r="I356" s="182"/>
      <c r="J356" s="182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</row>
    <row r="357">
      <c r="A357" s="182"/>
      <c r="B357" s="182"/>
      <c r="C357" s="182"/>
      <c r="D357" s="182"/>
      <c r="E357" s="182"/>
      <c r="F357" s="182"/>
      <c r="G357" s="263"/>
      <c r="H357" s="182"/>
      <c r="I357" s="182"/>
      <c r="J357" s="182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</row>
    <row r="358">
      <c r="A358" s="182"/>
      <c r="B358" s="182"/>
      <c r="C358" s="182"/>
      <c r="D358" s="182"/>
      <c r="E358" s="182"/>
      <c r="F358" s="182"/>
      <c r="G358" s="263"/>
      <c r="H358" s="182"/>
      <c r="I358" s="182"/>
      <c r="J358" s="182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</row>
    <row r="359">
      <c r="A359" s="182"/>
      <c r="B359" s="182"/>
      <c r="C359" s="182"/>
      <c r="D359" s="182"/>
      <c r="E359" s="182"/>
      <c r="F359" s="182"/>
      <c r="G359" s="263"/>
      <c r="H359" s="182"/>
      <c r="I359" s="182"/>
      <c r="J359" s="182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</row>
    <row r="360">
      <c r="A360" s="182"/>
      <c r="B360" s="182"/>
      <c r="C360" s="182"/>
      <c r="D360" s="182"/>
      <c r="E360" s="182"/>
      <c r="F360" s="182"/>
      <c r="G360" s="263"/>
      <c r="H360" s="182"/>
      <c r="I360" s="182"/>
      <c r="J360" s="182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</row>
    <row r="361">
      <c r="A361" s="182"/>
      <c r="B361" s="182"/>
      <c r="C361" s="182"/>
      <c r="D361" s="182"/>
      <c r="E361" s="182"/>
      <c r="F361" s="182"/>
      <c r="G361" s="263"/>
      <c r="H361" s="182"/>
      <c r="I361" s="182"/>
      <c r="J361" s="182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</row>
    <row r="362">
      <c r="A362" s="182"/>
      <c r="B362" s="182"/>
      <c r="C362" s="182"/>
      <c r="D362" s="182"/>
      <c r="E362" s="182"/>
      <c r="F362" s="182"/>
      <c r="G362" s="263"/>
      <c r="H362" s="182"/>
      <c r="I362" s="182"/>
      <c r="J362" s="182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</row>
    <row r="363">
      <c r="A363" s="182"/>
      <c r="B363" s="182"/>
      <c r="C363" s="182"/>
      <c r="D363" s="182"/>
      <c r="E363" s="182"/>
      <c r="F363" s="182"/>
      <c r="G363" s="263"/>
      <c r="H363" s="182"/>
      <c r="I363" s="182"/>
      <c r="J363" s="182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</row>
    <row r="364">
      <c r="A364" s="182"/>
      <c r="B364" s="182"/>
      <c r="C364" s="182"/>
      <c r="D364" s="182"/>
      <c r="E364" s="182"/>
      <c r="F364" s="182"/>
      <c r="G364" s="263"/>
      <c r="H364" s="182"/>
      <c r="I364" s="182"/>
      <c r="J364" s="182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</row>
    <row r="365">
      <c r="A365" s="182"/>
      <c r="B365" s="182"/>
      <c r="C365" s="182"/>
      <c r="D365" s="182"/>
      <c r="E365" s="182"/>
      <c r="F365" s="182"/>
      <c r="G365" s="263"/>
      <c r="H365" s="182"/>
      <c r="I365" s="182"/>
      <c r="J365" s="182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</row>
    <row r="366">
      <c r="A366" s="182"/>
      <c r="B366" s="182"/>
      <c r="C366" s="182"/>
      <c r="D366" s="182"/>
      <c r="E366" s="182"/>
      <c r="F366" s="182"/>
      <c r="G366" s="263"/>
      <c r="H366" s="182"/>
      <c r="I366" s="182"/>
      <c r="J366" s="182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</row>
    <row r="367">
      <c r="A367" s="182"/>
      <c r="B367" s="182"/>
      <c r="C367" s="182"/>
      <c r="D367" s="182"/>
      <c r="E367" s="182"/>
      <c r="F367" s="182"/>
      <c r="G367" s="263"/>
      <c r="H367" s="182"/>
      <c r="I367" s="182"/>
      <c r="J367" s="182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</row>
    <row r="368">
      <c r="A368" s="182"/>
      <c r="B368" s="182"/>
      <c r="C368" s="182"/>
      <c r="D368" s="182"/>
      <c r="E368" s="182"/>
      <c r="F368" s="182"/>
      <c r="G368" s="263"/>
      <c r="H368" s="182"/>
      <c r="I368" s="182"/>
      <c r="J368" s="182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</row>
    <row r="369">
      <c r="A369" s="182"/>
      <c r="B369" s="182"/>
      <c r="C369" s="182"/>
      <c r="D369" s="182"/>
      <c r="E369" s="182"/>
      <c r="F369" s="182"/>
      <c r="G369" s="263"/>
      <c r="H369" s="182"/>
      <c r="I369" s="182"/>
      <c r="J369" s="182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</row>
    <row r="370">
      <c r="A370" s="182"/>
      <c r="B370" s="182"/>
      <c r="C370" s="182"/>
      <c r="D370" s="182"/>
      <c r="E370" s="182"/>
      <c r="F370" s="182"/>
      <c r="G370" s="263"/>
      <c r="H370" s="182"/>
      <c r="I370" s="182"/>
      <c r="J370" s="182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</row>
    <row r="371">
      <c r="A371" s="182"/>
      <c r="B371" s="182"/>
      <c r="C371" s="182"/>
      <c r="D371" s="182"/>
      <c r="E371" s="182"/>
      <c r="F371" s="182"/>
      <c r="G371" s="263"/>
      <c r="H371" s="182"/>
      <c r="I371" s="182"/>
      <c r="J371" s="182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</row>
    <row r="372">
      <c r="A372" s="182"/>
      <c r="B372" s="182"/>
      <c r="C372" s="182"/>
      <c r="D372" s="182"/>
      <c r="E372" s="182"/>
      <c r="F372" s="182"/>
      <c r="G372" s="263"/>
      <c r="H372" s="182"/>
      <c r="I372" s="182"/>
      <c r="J372" s="182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</row>
    <row r="373">
      <c r="A373" s="182"/>
      <c r="B373" s="182"/>
      <c r="C373" s="182"/>
      <c r="D373" s="182"/>
      <c r="E373" s="182"/>
      <c r="F373" s="182"/>
      <c r="G373" s="263"/>
      <c r="H373" s="182"/>
      <c r="I373" s="182"/>
      <c r="J373" s="182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</row>
    <row r="374">
      <c r="A374" s="182"/>
      <c r="B374" s="182"/>
      <c r="C374" s="182"/>
      <c r="D374" s="182"/>
      <c r="E374" s="182"/>
      <c r="F374" s="182"/>
      <c r="G374" s="263"/>
      <c r="H374" s="182"/>
      <c r="I374" s="182"/>
      <c r="J374" s="182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</row>
    <row r="375">
      <c r="A375" s="182"/>
      <c r="B375" s="182"/>
      <c r="C375" s="182"/>
      <c r="D375" s="182"/>
      <c r="E375" s="182"/>
      <c r="F375" s="182"/>
      <c r="G375" s="263"/>
      <c r="H375" s="182"/>
      <c r="I375" s="182"/>
      <c r="J375" s="182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</row>
    <row r="376">
      <c r="A376" s="182"/>
      <c r="B376" s="182"/>
      <c r="C376" s="182"/>
      <c r="D376" s="182"/>
      <c r="E376" s="182"/>
      <c r="F376" s="182"/>
      <c r="G376" s="263"/>
      <c r="H376" s="182"/>
      <c r="I376" s="182"/>
      <c r="J376" s="182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</row>
    <row r="377">
      <c r="A377" s="182"/>
      <c r="B377" s="182"/>
      <c r="C377" s="182"/>
      <c r="D377" s="182"/>
      <c r="E377" s="182"/>
      <c r="F377" s="182"/>
      <c r="G377" s="263"/>
      <c r="H377" s="182"/>
      <c r="I377" s="182"/>
      <c r="J377" s="182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</row>
    <row r="378">
      <c r="A378" s="182"/>
      <c r="B378" s="182"/>
      <c r="C378" s="182"/>
      <c r="D378" s="182"/>
      <c r="E378" s="182"/>
      <c r="F378" s="182"/>
      <c r="G378" s="263"/>
      <c r="H378" s="182"/>
      <c r="I378" s="182"/>
      <c r="J378" s="182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</row>
    <row r="379">
      <c r="A379" s="182"/>
      <c r="B379" s="182"/>
      <c r="C379" s="182"/>
      <c r="D379" s="182"/>
      <c r="E379" s="182"/>
      <c r="F379" s="182"/>
      <c r="G379" s="263"/>
      <c r="H379" s="182"/>
      <c r="I379" s="182"/>
      <c r="J379" s="182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</row>
    <row r="380">
      <c r="A380" s="182"/>
      <c r="B380" s="182"/>
      <c r="C380" s="182"/>
      <c r="D380" s="182"/>
      <c r="E380" s="182"/>
      <c r="F380" s="182"/>
      <c r="G380" s="263"/>
      <c r="H380" s="182"/>
      <c r="I380" s="182"/>
      <c r="J380" s="182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</row>
    <row r="381">
      <c r="A381" s="182"/>
      <c r="B381" s="182"/>
      <c r="C381" s="182"/>
      <c r="D381" s="182"/>
      <c r="E381" s="182"/>
      <c r="F381" s="182"/>
      <c r="G381" s="263"/>
      <c r="H381" s="182"/>
      <c r="I381" s="182"/>
      <c r="J381" s="182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</row>
    <row r="382">
      <c r="A382" s="182"/>
      <c r="B382" s="182"/>
      <c r="C382" s="182"/>
      <c r="D382" s="182"/>
      <c r="E382" s="182"/>
      <c r="F382" s="182"/>
      <c r="G382" s="263"/>
      <c r="H382" s="182"/>
      <c r="I382" s="182"/>
      <c r="J382" s="182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</row>
    <row r="383">
      <c r="A383" s="182"/>
      <c r="B383" s="182"/>
      <c r="C383" s="182"/>
      <c r="D383" s="182"/>
      <c r="E383" s="182"/>
      <c r="F383" s="182"/>
      <c r="G383" s="263"/>
      <c r="H383" s="182"/>
      <c r="I383" s="182"/>
      <c r="J383" s="182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</row>
    <row r="384">
      <c r="A384" s="182"/>
      <c r="B384" s="182"/>
      <c r="C384" s="182"/>
      <c r="D384" s="182"/>
      <c r="E384" s="182"/>
      <c r="F384" s="182"/>
      <c r="G384" s="263"/>
      <c r="H384" s="182"/>
      <c r="I384" s="182"/>
      <c r="J384" s="182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</row>
    <row r="385">
      <c r="A385" s="182"/>
      <c r="B385" s="182"/>
      <c r="C385" s="182"/>
      <c r="D385" s="182"/>
      <c r="E385" s="182"/>
      <c r="F385" s="182"/>
      <c r="G385" s="263"/>
      <c r="H385" s="182"/>
      <c r="I385" s="182"/>
      <c r="J385" s="182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</row>
    <row r="386">
      <c r="A386" s="182"/>
      <c r="B386" s="182"/>
      <c r="C386" s="182"/>
      <c r="D386" s="182"/>
      <c r="E386" s="182"/>
      <c r="F386" s="182"/>
      <c r="G386" s="263"/>
      <c r="H386" s="182"/>
      <c r="I386" s="182"/>
      <c r="J386" s="182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</row>
    <row r="387">
      <c r="A387" s="182"/>
      <c r="B387" s="182"/>
      <c r="C387" s="182"/>
      <c r="D387" s="182"/>
      <c r="E387" s="182"/>
      <c r="F387" s="182"/>
      <c r="G387" s="263"/>
      <c r="H387" s="182"/>
      <c r="I387" s="182"/>
      <c r="J387" s="182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</row>
    <row r="388">
      <c r="A388" s="182"/>
      <c r="B388" s="182"/>
      <c r="C388" s="182"/>
      <c r="D388" s="182"/>
      <c r="E388" s="182"/>
      <c r="F388" s="182"/>
      <c r="G388" s="263"/>
      <c r="H388" s="182"/>
      <c r="I388" s="182"/>
      <c r="J388" s="182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</row>
    <row r="389">
      <c r="A389" s="182"/>
      <c r="B389" s="182"/>
      <c r="C389" s="182"/>
      <c r="D389" s="182"/>
      <c r="E389" s="182"/>
      <c r="F389" s="182"/>
      <c r="G389" s="263"/>
      <c r="H389" s="182"/>
      <c r="I389" s="182"/>
      <c r="J389" s="182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</row>
    <row r="390">
      <c r="A390" s="182"/>
      <c r="B390" s="182"/>
      <c r="C390" s="182"/>
      <c r="D390" s="182"/>
      <c r="E390" s="182"/>
      <c r="F390" s="182"/>
      <c r="G390" s="263"/>
      <c r="H390" s="182"/>
      <c r="I390" s="182"/>
      <c r="J390" s="182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</row>
    <row r="391">
      <c r="A391" s="182"/>
      <c r="B391" s="182"/>
      <c r="C391" s="182"/>
      <c r="D391" s="182"/>
      <c r="E391" s="182"/>
      <c r="F391" s="182"/>
      <c r="G391" s="263"/>
      <c r="H391" s="182"/>
      <c r="I391" s="182"/>
      <c r="J391" s="182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</row>
    <row r="392">
      <c r="A392" s="182"/>
      <c r="B392" s="182"/>
      <c r="C392" s="182"/>
      <c r="D392" s="182"/>
      <c r="E392" s="182"/>
      <c r="F392" s="182"/>
      <c r="G392" s="263"/>
      <c r="H392" s="182"/>
      <c r="I392" s="182"/>
      <c r="J392" s="182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</row>
    <row r="393">
      <c r="A393" s="182"/>
      <c r="B393" s="182"/>
      <c r="C393" s="182"/>
      <c r="D393" s="182"/>
      <c r="E393" s="182"/>
      <c r="F393" s="182"/>
      <c r="G393" s="263"/>
      <c r="H393" s="182"/>
      <c r="I393" s="182"/>
      <c r="J393" s="182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</row>
    <row r="394">
      <c r="A394" s="182"/>
      <c r="B394" s="182"/>
      <c r="C394" s="182"/>
      <c r="D394" s="182"/>
      <c r="E394" s="182"/>
      <c r="F394" s="182"/>
      <c r="G394" s="263"/>
      <c r="H394" s="182"/>
      <c r="I394" s="182"/>
      <c r="J394" s="182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</row>
    <row r="395">
      <c r="A395" s="182"/>
      <c r="B395" s="182"/>
      <c r="C395" s="182"/>
      <c r="D395" s="182"/>
      <c r="E395" s="182"/>
      <c r="F395" s="182"/>
      <c r="G395" s="263"/>
      <c r="H395" s="182"/>
      <c r="I395" s="182"/>
      <c r="J395" s="182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</row>
    <row r="396">
      <c r="A396" s="182"/>
      <c r="B396" s="182"/>
      <c r="C396" s="182"/>
      <c r="D396" s="182"/>
      <c r="E396" s="182"/>
      <c r="F396" s="182"/>
      <c r="G396" s="263"/>
      <c r="H396" s="182"/>
      <c r="I396" s="182"/>
      <c r="J396" s="182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</row>
    <row r="397">
      <c r="A397" s="182"/>
      <c r="B397" s="182"/>
      <c r="C397" s="182"/>
      <c r="D397" s="182"/>
      <c r="E397" s="182"/>
      <c r="F397" s="182"/>
      <c r="G397" s="263"/>
      <c r="H397" s="182"/>
      <c r="I397" s="182"/>
      <c r="J397" s="182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</row>
    <row r="398">
      <c r="A398" s="182"/>
      <c r="B398" s="182"/>
      <c r="C398" s="182"/>
      <c r="D398" s="182"/>
      <c r="E398" s="182"/>
      <c r="F398" s="182"/>
      <c r="G398" s="263"/>
      <c r="H398" s="182"/>
      <c r="I398" s="182"/>
      <c r="J398" s="182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</row>
    <row r="399">
      <c r="A399" s="182"/>
      <c r="B399" s="182"/>
      <c r="C399" s="182"/>
      <c r="D399" s="182"/>
      <c r="E399" s="182"/>
      <c r="F399" s="182"/>
      <c r="G399" s="263"/>
      <c r="H399" s="182"/>
      <c r="I399" s="182"/>
      <c r="J399" s="182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</row>
    <row r="400">
      <c r="A400" s="182"/>
      <c r="B400" s="182"/>
      <c r="C400" s="182"/>
      <c r="D400" s="182"/>
      <c r="E400" s="182"/>
      <c r="F400" s="182"/>
      <c r="G400" s="263"/>
      <c r="H400" s="182"/>
      <c r="I400" s="182"/>
      <c r="J400" s="182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</row>
    <row r="401">
      <c r="A401" s="182"/>
      <c r="B401" s="182"/>
      <c r="C401" s="182"/>
      <c r="D401" s="182"/>
      <c r="E401" s="182"/>
      <c r="F401" s="182"/>
      <c r="G401" s="263"/>
      <c r="H401" s="182"/>
      <c r="I401" s="182"/>
      <c r="J401" s="182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</row>
    <row r="402">
      <c r="A402" s="182"/>
      <c r="B402" s="182"/>
      <c r="C402" s="182"/>
      <c r="D402" s="182"/>
      <c r="E402" s="182"/>
      <c r="F402" s="182"/>
      <c r="G402" s="263"/>
      <c r="H402" s="182"/>
      <c r="I402" s="182"/>
      <c r="J402" s="182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</row>
    <row r="403">
      <c r="A403" s="182"/>
      <c r="B403" s="182"/>
      <c r="C403" s="182"/>
      <c r="D403" s="182"/>
      <c r="E403" s="182"/>
      <c r="F403" s="182"/>
      <c r="G403" s="263"/>
      <c r="H403" s="182"/>
      <c r="I403" s="182"/>
      <c r="J403" s="182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</row>
    <row r="404">
      <c r="A404" s="182"/>
      <c r="B404" s="182"/>
      <c r="C404" s="182"/>
      <c r="D404" s="182"/>
      <c r="E404" s="182"/>
      <c r="F404" s="182"/>
      <c r="G404" s="263"/>
      <c r="H404" s="182"/>
      <c r="I404" s="182"/>
      <c r="J404" s="182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</row>
    <row r="405">
      <c r="A405" s="182"/>
      <c r="B405" s="182"/>
      <c r="C405" s="182"/>
      <c r="D405" s="182"/>
      <c r="E405" s="182"/>
      <c r="F405" s="182"/>
      <c r="G405" s="263"/>
      <c r="H405" s="182"/>
      <c r="I405" s="182"/>
      <c r="J405" s="182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</row>
    <row r="406">
      <c r="A406" s="182"/>
      <c r="B406" s="182"/>
      <c r="C406" s="182"/>
      <c r="D406" s="182"/>
      <c r="E406" s="182"/>
      <c r="F406" s="182"/>
      <c r="G406" s="263"/>
      <c r="H406" s="182"/>
      <c r="I406" s="182"/>
      <c r="J406" s="182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</row>
    <row r="407">
      <c r="A407" s="182"/>
      <c r="B407" s="182"/>
      <c r="C407" s="182"/>
      <c r="D407" s="182"/>
      <c r="E407" s="182"/>
      <c r="F407" s="182"/>
      <c r="G407" s="263"/>
      <c r="H407" s="182"/>
      <c r="I407" s="182"/>
      <c r="J407" s="182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</row>
    <row r="408">
      <c r="A408" s="182"/>
      <c r="B408" s="182"/>
      <c r="C408" s="182"/>
      <c r="D408" s="182"/>
      <c r="E408" s="182"/>
      <c r="F408" s="182"/>
      <c r="G408" s="263"/>
      <c r="H408" s="182"/>
      <c r="I408" s="182"/>
      <c r="J408" s="182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</row>
    <row r="409">
      <c r="A409" s="182"/>
      <c r="B409" s="182"/>
      <c r="C409" s="182"/>
      <c r="D409" s="182"/>
      <c r="E409" s="182"/>
      <c r="F409" s="182"/>
      <c r="G409" s="263"/>
      <c r="H409" s="182"/>
      <c r="I409" s="182"/>
      <c r="J409" s="182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</row>
    <row r="410">
      <c r="A410" s="182"/>
      <c r="B410" s="182"/>
      <c r="C410" s="182"/>
      <c r="D410" s="182"/>
      <c r="E410" s="182"/>
      <c r="F410" s="182"/>
      <c r="G410" s="263"/>
      <c r="H410" s="182"/>
      <c r="I410" s="182"/>
      <c r="J410" s="182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</row>
    <row r="411">
      <c r="A411" s="182"/>
      <c r="B411" s="182"/>
      <c r="C411" s="182"/>
      <c r="D411" s="182"/>
      <c r="E411" s="182"/>
      <c r="F411" s="182"/>
      <c r="G411" s="263"/>
      <c r="H411" s="182"/>
      <c r="I411" s="182"/>
      <c r="J411" s="182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</row>
    <row r="412">
      <c r="A412" s="182"/>
      <c r="B412" s="182"/>
      <c r="C412" s="182"/>
      <c r="D412" s="182"/>
      <c r="E412" s="182"/>
      <c r="F412" s="182"/>
      <c r="G412" s="263"/>
      <c r="H412" s="182"/>
      <c r="I412" s="182"/>
      <c r="J412" s="182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</row>
    <row r="413">
      <c r="A413" s="182"/>
      <c r="B413" s="182"/>
      <c r="C413" s="182"/>
      <c r="D413" s="182"/>
      <c r="E413" s="182"/>
      <c r="F413" s="182"/>
      <c r="G413" s="263"/>
      <c r="H413" s="182"/>
      <c r="I413" s="182"/>
      <c r="J413" s="182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</row>
    <row r="414">
      <c r="A414" s="182"/>
      <c r="B414" s="182"/>
      <c r="C414" s="182"/>
      <c r="D414" s="182"/>
      <c r="E414" s="182"/>
      <c r="F414" s="182"/>
      <c r="G414" s="263"/>
      <c r="H414" s="182"/>
      <c r="I414" s="182"/>
      <c r="J414" s="182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</row>
    <row r="415">
      <c r="A415" s="182"/>
      <c r="B415" s="182"/>
      <c r="C415" s="182"/>
      <c r="D415" s="182"/>
      <c r="E415" s="182"/>
      <c r="F415" s="182"/>
      <c r="G415" s="263"/>
      <c r="H415" s="182"/>
      <c r="I415" s="182"/>
      <c r="J415" s="182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</row>
    <row r="416">
      <c r="A416" s="182"/>
      <c r="B416" s="182"/>
      <c r="C416" s="182"/>
      <c r="D416" s="182"/>
      <c r="E416" s="182"/>
      <c r="F416" s="182"/>
      <c r="G416" s="263"/>
      <c r="H416" s="182"/>
      <c r="I416" s="182"/>
      <c r="J416" s="182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</row>
    <row r="417">
      <c r="A417" s="182"/>
      <c r="B417" s="182"/>
      <c r="C417" s="182"/>
      <c r="D417" s="182"/>
      <c r="E417" s="182"/>
      <c r="F417" s="182"/>
      <c r="G417" s="263"/>
      <c r="H417" s="182"/>
      <c r="I417" s="182"/>
      <c r="J417" s="182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</row>
    <row r="418">
      <c r="A418" s="182"/>
      <c r="B418" s="182"/>
      <c r="C418" s="182"/>
      <c r="D418" s="182"/>
      <c r="E418" s="182"/>
      <c r="F418" s="182"/>
      <c r="G418" s="263"/>
      <c r="H418" s="182"/>
      <c r="I418" s="182"/>
      <c r="J418" s="182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</row>
    <row r="419">
      <c r="A419" s="182"/>
      <c r="B419" s="182"/>
      <c r="C419" s="182"/>
      <c r="D419" s="182"/>
      <c r="E419" s="182"/>
      <c r="F419" s="182"/>
      <c r="G419" s="263"/>
      <c r="H419" s="182"/>
      <c r="I419" s="182"/>
      <c r="J419" s="182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</row>
    <row r="420">
      <c r="A420" s="182"/>
      <c r="B420" s="182"/>
      <c r="C420" s="182"/>
      <c r="D420" s="182"/>
      <c r="E420" s="182"/>
      <c r="F420" s="182"/>
      <c r="G420" s="263"/>
      <c r="H420" s="182"/>
      <c r="I420" s="182"/>
      <c r="J420" s="182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</row>
    <row r="421">
      <c r="A421" s="182"/>
      <c r="B421" s="182"/>
      <c r="C421" s="182"/>
      <c r="D421" s="182"/>
      <c r="E421" s="182"/>
      <c r="F421" s="182"/>
      <c r="G421" s="263"/>
      <c r="H421" s="182"/>
      <c r="I421" s="182"/>
      <c r="J421" s="182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</row>
    <row r="422">
      <c r="A422" s="182"/>
      <c r="B422" s="182"/>
      <c r="C422" s="182"/>
      <c r="D422" s="182"/>
      <c r="E422" s="182"/>
      <c r="F422" s="182"/>
      <c r="G422" s="263"/>
      <c r="H422" s="182"/>
      <c r="I422" s="182"/>
      <c r="J422" s="182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</row>
    <row r="423">
      <c r="A423" s="182"/>
      <c r="B423" s="182"/>
      <c r="C423" s="182"/>
      <c r="D423" s="182"/>
      <c r="E423" s="182"/>
      <c r="F423" s="182"/>
      <c r="G423" s="263"/>
      <c r="H423" s="182"/>
      <c r="I423" s="182"/>
      <c r="J423" s="182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</row>
    <row r="424">
      <c r="A424" s="182"/>
      <c r="B424" s="182"/>
      <c r="C424" s="182"/>
      <c r="D424" s="182"/>
      <c r="E424" s="182"/>
      <c r="F424" s="182"/>
      <c r="G424" s="263"/>
      <c r="H424" s="182"/>
      <c r="I424" s="182"/>
      <c r="J424" s="182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</row>
    <row r="425">
      <c r="A425" s="182"/>
      <c r="B425" s="182"/>
      <c r="C425" s="182"/>
      <c r="D425" s="182"/>
      <c r="E425" s="182"/>
      <c r="F425" s="182"/>
      <c r="G425" s="263"/>
      <c r="H425" s="182"/>
      <c r="I425" s="182"/>
      <c r="J425" s="182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</row>
    <row r="426">
      <c r="A426" s="182"/>
      <c r="B426" s="182"/>
      <c r="C426" s="182"/>
      <c r="D426" s="182"/>
      <c r="E426" s="182"/>
      <c r="F426" s="182"/>
      <c r="G426" s="263"/>
      <c r="H426" s="182"/>
      <c r="I426" s="182"/>
      <c r="J426" s="182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</row>
    <row r="427">
      <c r="A427" s="182"/>
      <c r="B427" s="182"/>
      <c r="C427" s="182"/>
      <c r="D427" s="182"/>
      <c r="E427" s="182"/>
      <c r="F427" s="182"/>
      <c r="G427" s="263"/>
      <c r="H427" s="182"/>
      <c r="I427" s="182"/>
      <c r="J427" s="182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</row>
    <row r="428">
      <c r="A428" s="182"/>
      <c r="B428" s="182"/>
      <c r="C428" s="182"/>
      <c r="D428" s="182"/>
      <c r="E428" s="182"/>
      <c r="F428" s="182"/>
      <c r="G428" s="263"/>
      <c r="H428" s="182"/>
      <c r="I428" s="182"/>
      <c r="J428" s="182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</row>
    <row r="429">
      <c r="A429" s="182"/>
      <c r="B429" s="182"/>
      <c r="C429" s="182"/>
      <c r="D429" s="182"/>
      <c r="E429" s="182"/>
      <c r="F429" s="182"/>
      <c r="G429" s="263"/>
      <c r="H429" s="182"/>
      <c r="I429" s="182"/>
      <c r="J429" s="182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</row>
    <row r="430">
      <c r="A430" s="182"/>
      <c r="B430" s="182"/>
      <c r="C430" s="182"/>
      <c r="D430" s="182"/>
      <c r="E430" s="182"/>
      <c r="F430" s="182"/>
      <c r="G430" s="263"/>
      <c r="H430" s="182"/>
      <c r="I430" s="182"/>
      <c r="J430" s="182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</row>
    <row r="431">
      <c r="A431" s="182"/>
      <c r="B431" s="182"/>
      <c r="C431" s="182"/>
      <c r="D431" s="182"/>
      <c r="E431" s="182"/>
      <c r="F431" s="182"/>
      <c r="G431" s="263"/>
      <c r="H431" s="182"/>
      <c r="I431" s="182"/>
      <c r="J431" s="182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</row>
    <row r="432">
      <c r="A432" s="182"/>
      <c r="B432" s="182"/>
      <c r="C432" s="182"/>
      <c r="D432" s="182"/>
      <c r="E432" s="182"/>
      <c r="F432" s="182"/>
      <c r="G432" s="263"/>
      <c r="H432" s="182"/>
      <c r="I432" s="182"/>
      <c r="J432" s="182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</row>
    <row r="433">
      <c r="A433" s="182"/>
      <c r="B433" s="182"/>
      <c r="C433" s="182"/>
      <c r="D433" s="182"/>
      <c r="E433" s="182"/>
      <c r="F433" s="182"/>
      <c r="G433" s="263"/>
      <c r="H433" s="182"/>
      <c r="I433" s="182"/>
      <c r="J433" s="182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</row>
    <row r="434">
      <c r="A434" s="182"/>
      <c r="B434" s="182"/>
      <c r="C434" s="182"/>
      <c r="D434" s="182"/>
      <c r="E434" s="182"/>
      <c r="F434" s="182"/>
      <c r="G434" s="263"/>
      <c r="H434" s="182"/>
      <c r="I434" s="182"/>
      <c r="J434" s="182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</row>
    <row r="435">
      <c r="A435" s="182"/>
      <c r="B435" s="182"/>
      <c r="C435" s="182"/>
      <c r="D435" s="182"/>
      <c r="E435" s="182"/>
      <c r="F435" s="182"/>
      <c r="G435" s="263"/>
      <c r="H435" s="182"/>
      <c r="I435" s="182"/>
      <c r="J435" s="182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</row>
    <row r="436">
      <c r="A436" s="182"/>
      <c r="B436" s="182"/>
      <c r="C436" s="182"/>
      <c r="D436" s="182"/>
      <c r="E436" s="182"/>
      <c r="F436" s="182"/>
      <c r="G436" s="263"/>
      <c r="H436" s="182"/>
      <c r="I436" s="182"/>
      <c r="J436" s="182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</row>
    <row r="437">
      <c r="A437" s="182"/>
      <c r="B437" s="182"/>
      <c r="C437" s="182"/>
      <c r="D437" s="182"/>
      <c r="E437" s="182"/>
      <c r="F437" s="182"/>
      <c r="G437" s="263"/>
      <c r="H437" s="182"/>
      <c r="I437" s="182"/>
      <c r="J437" s="182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</row>
    <row r="438">
      <c r="A438" s="182"/>
      <c r="B438" s="182"/>
      <c r="C438" s="182"/>
      <c r="D438" s="182"/>
      <c r="E438" s="182"/>
      <c r="F438" s="182"/>
      <c r="G438" s="263"/>
      <c r="H438" s="182"/>
      <c r="I438" s="182"/>
      <c r="J438" s="182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</row>
    <row r="439">
      <c r="A439" s="182"/>
      <c r="B439" s="182"/>
      <c r="C439" s="182"/>
      <c r="D439" s="182"/>
      <c r="E439" s="182"/>
      <c r="F439" s="182"/>
      <c r="G439" s="263"/>
      <c r="H439" s="182"/>
      <c r="I439" s="182"/>
      <c r="J439" s="182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</row>
    <row r="440">
      <c r="A440" s="182"/>
      <c r="B440" s="182"/>
      <c r="C440" s="182"/>
      <c r="D440" s="182"/>
      <c r="E440" s="182"/>
      <c r="F440" s="182"/>
      <c r="G440" s="263"/>
      <c r="H440" s="182"/>
      <c r="I440" s="182"/>
      <c r="J440" s="182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</row>
    <row r="441">
      <c r="A441" s="182"/>
      <c r="B441" s="182"/>
      <c r="C441" s="182"/>
      <c r="D441" s="182"/>
      <c r="E441" s="182"/>
      <c r="F441" s="182"/>
      <c r="G441" s="263"/>
      <c r="H441" s="182"/>
      <c r="I441" s="182"/>
      <c r="J441" s="182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</row>
    <row r="442">
      <c r="A442" s="182"/>
      <c r="B442" s="182"/>
      <c r="C442" s="182"/>
      <c r="D442" s="182"/>
      <c r="E442" s="182"/>
      <c r="F442" s="182"/>
      <c r="G442" s="263"/>
      <c r="H442" s="182"/>
      <c r="I442" s="182"/>
      <c r="J442" s="182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</row>
    <row r="443">
      <c r="A443" s="182"/>
      <c r="B443" s="182"/>
      <c r="C443" s="182"/>
      <c r="D443" s="182"/>
      <c r="E443" s="182"/>
      <c r="F443" s="182"/>
      <c r="G443" s="263"/>
      <c r="H443" s="182"/>
      <c r="I443" s="182"/>
      <c r="J443" s="182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</row>
    <row r="444">
      <c r="A444" s="182"/>
      <c r="B444" s="182"/>
      <c r="C444" s="182"/>
      <c r="D444" s="182"/>
      <c r="E444" s="182"/>
      <c r="F444" s="182"/>
      <c r="G444" s="263"/>
      <c r="H444" s="182"/>
      <c r="I444" s="182"/>
      <c r="J444" s="182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</row>
    <row r="445">
      <c r="A445" s="182"/>
      <c r="B445" s="182"/>
      <c r="C445" s="182"/>
      <c r="D445" s="182"/>
      <c r="E445" s="182"/>
      <c r="F445" s="182"/>
      <c r="G445" s="263"/>
      <c r="H445" s="182"/>
      <c r="I445" s="182"/>
      <c r="J445" s="182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</row>
    <row r="446">
      <c r="A446" s="182"/>
      <c r="B446" s="182"/>
      <c r="C446" s="182"/>
      <c r="D446" s="182"/>
      <c r="E446" s="182"/>
      <c r="F446" s="182"/>
      <c r="G446" s="263"/>
      <c r="H446" s="182"/>
      <c r="I446" s="182"/>
      <c r="J446" s="182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</row>
    <row r="447">
      <c r="A447" s="182"/>
      <c r="B447" s="182"/>
      <c r="C447" s="182"/>
      <c r="D447" s="182"/>
      <c r="E447" s="182"/>
      <c r="F447" s="182"/>
      <c r="G447" s="263"/>
      <c r="H447" s="182"/>
      <c r="I447" s="182"/>
      <c r="J447" s="182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</row>
    <row r="448">
      <c r="A448" s="182"/>
      <c r="B448" s="182"/>
      <c r="C448" s="182"/>
      <c r="D448" s="182"/>
      <c r="E448" s="182"/>
      <c r="F448" s="182"/>
      <c r="G448" s="263"/>
      <c r="H448" s="182"/>
      <c r="I448" s="182"/>
      <c r="J448" s="182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</row>
    <row r="449">
      <c r="A449" s="182"/>
      <c r="B449" s="182"/>
      <c r="C449" s="182"/>
      <c r="D449" s="182"/>
      <c r="E449" s="182"/>
      <c r="F449" s="182"/>
      <c r="G449" s="263"/>
      <c r="H449" s="182"/>
      <c r="I449" s="182"/>
      <c r="J449" s="182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</row>
    <row r="450">
      <c r="A450" s="182"/>
      <c r="B450" s="182"/>
      <c r="C450" s="182"/>
      <c r="D450" s="182"/>
      <c r="E450" s="182"/>
      <c r="F450" s="182"/>
      <c r="G450" s="263"/>
      <c r="H450" s="182"/>
      <c r="I450" s="182"/>
      <c r="J450" s="182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</row>
    <row r="451">
      <c r="A451" s="182"/>
      <c r="B451" s="182"/>
      <c r="C451" s="182"/>
      <c r="D451" s="182"/>
      <c r="E451" s="182"/>
      <c r="F451" s="182"/>
      <c r="G451" s="263"/>
      <c r="H451" s="182"/>
      <c r="I451" s="182"/>
      <c r="J451" s="182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</row>
    <row r="452">
      <c r="A452" s="182"/>
      <c r="B452" s="182"/>
      <c r="C452" s="182"/>
      <c r="D452" s="182"/>
      <c r="E452" s="182"/>
      <c r="F452" s="182"/>
      <c r="G452" s="263"/>
      <c r="H452" s="182"/>
      <c r="I452" s="182"/>
      <c r="J452" s="182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</row>
    <row r="453">
      <c r="A453" s="182"/>
      <c r="B453" s="182"/>
      <c r="C453" s="182"/>
      <c r="D453" s="182"/>
      <c r="E453" s="182"/>
      <c r="F453" s="182"/>
      <c r="G453" s="263"/>
      <c r="H453" s="182"/>
      <c r="I453" s="182"/>
      <c r="J453" s="182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</row>
    <row r="454">
      <c r="A454" s="182"/>
      <c r="B454" s="182"/>
      <c r="C454" s="182"/>
      <c r="D454" s="182"/>
      <c r="E454" s="182"/>
      <c r="F454" s="182"/>
      <c r="G454" s="263"/>
      <c r="H454" s="182"/>
      <c r="I454" s="182"/>
      <c r="J454" s="182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</row>
    <row r="455">
      <c r="A455" s="182"/>
      <c r="B455" s="182"/>
      <c r="C455" s="182"/>
      <c r="D455" s="182"/>
      <c r="E455" s="182"/>
      <c r="F455" s="182"/>
      <c r="G455" s="263"/>
      <c r="H455" s="182"/>
      <c r="I455" s="182"/>
      <c r="J455" s="182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</row>
    <row r="456">
      <c r="A456" s="182"/>
      <c r="B456" s="182"/>
      <c r="C456" s="182"/>
      <c r="D456" s="182"/>
      <c r="E456" s="182"/>
      <c r="F456" s="182"/>
      <c r="G456" s="263"/>
      <c r="H456" s="182"/>
      <c r="I456" s="182"/>
      <c r="J456" s="182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</row>
    <row r="457">
      <c r="A457" s="182"/>
      <c r="B457" s="182"/>
      <c r="C457" s="182"/>
      <c r="D457" s="182"/>
      <c r="E457" s="182"/>
      <c r="F457" s="182"/>
      <c r="G457" s="263"/>
      <c r="H457" s="182"/>
      <c r="I457" s="182"/>
      <c r="J457" s="182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</row>
    <row r="458">
      <c r="A458" s="182"/>
      <c r="B458" s="182"/>
      <c r="C458" s="182"/>
      <c r="D458" s="182"/>
      <c r="E458" s="182"/>
      <c r="F458" s="182"/>
      <c r="G458" s="263"/>
      <c r="H458" s="182"/>
      <c r="I458" s="182"/>
      <c r="J458" s="182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</row>
    <row r="459">
      <c r="A459" s="182"/>
      <c r="B459" s="182"/>
      <c r="C459" s="182"/>
      <c r="D459" s="182"/>
      <c r="E459" s="182"/>
      <c r="F459" s="182"/>
      <c r="G459" s="263"/>
      <c r="H459" s="182"/>
      <c r="I459" s="182"/>
      <c r="J459" s="182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</row>
    <row r="460">
      <c r="A460" s="182"/>
      <c r="B460" s="182"/>
      <c r="C460" s="182"/>
      <c r="D460" s="182"/>
      <c r="E460" s="182"/>
      <c r="F460" s="182"/>
      <c r="G460" s="263"/>
      <c r="H460" s="182"/>
      <c r="I460" s="182"/>
      <c r="J460" s="182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</row>
    <row r="461">
      <c r="A461" s="182"/>
      <c r="B461" s="182"/>
      <c r="C461" s="182"/>
      <c r="D461" s="182"/>
      <c r="E461" s="182"/>
      <c r="F461" s="182"/>
      <c r="G461" s="263"/>
      <c r="H461" s="182"/>
      <c r="I461" s="182"/>
      <c r="J461" s="182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</row>
    <row r="462">
      <c r="A462" s="182"/>
      <c r="B462" s="182"/>
      <c r="C462" s="182"/>
      <c r="D462" s="182"/>
      <c r="E462" s="182"/>
      <c r="F462" s="182"/>
      <c r="G462" s="263"/>
      <c r="H462" s="182"/>
      <c r="I462" s="182"/>
      <c r="J462" s="182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</row>
    <row r="463">
      <c r="A463" s="182"/>
      <c r="B463" s="182"/>
      <c r="C463" s="182"/>
      <c r="D463" s="182"/>
      <c r="E463" s="182"/>
      <c r="F463" s="182"/>
      <c r="G463" s="263"/>
      <c r="H463" s="182"/>
      <c r="I463" s="182"/>
      <c r="J463" s="182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</row>
    <row r="464">
      <c r="A464" s="182"/>
      <c r="B464" s="182"/>
      <c r="C464" s="182"/>
      <c r="D464" s="182"/>
      <c r="E464" s="182"/>
      <c r="F464" s="182"/>
      <c r="G464" s="263"/>
      <c r="H464" s="182"/>
      <c r="I464" s="182"/>
      <c r="J464" s="182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</row>
    <row r="465">
      <c r="A465" s="182"/>
      <c r="B465" s="182"/>
      <c r="C465" s="182"/>
      <c r="D465" s="182"/>
      <c r="E465" s="182"/>
      <c r="F465" s="182"/>
      <c r="G465" s="263"/>
      <c r="H465" s="182"/>
      <c r="I465" s="182"/>
      <c r="J465" s="182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</row>
    <row r="466">
      <c r="A466" s="182"/>
      <c r="B466" s="182"/>
      <c r="C466" s="182"/>
      <c r="D466" s="182"/>
      <c r="E466" s="182"/>
      <c r="F466" s="182"/>
      <c r="G466" s="263"/>
      <c r="H466" s="182"/>
      <c r="I466" s="182"/>
      <c r="J466" s="182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</row>
    <row r="467">
      <c r="A467" s="182"/>
      <c r="B467" s="182"/>
      <c r="C467" s="182"/>
      <c r="D467" s="182"/>
      <c r="E467" s="182"/>
      <c r="F467" s="182"/>
      <c r="G467" s="263"/>
      <c r="H467" s="182"/>
      <c r="I467" s="182"/>
      <c r="J467" s="182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</row>
    <row r="468">
      <c r="A468" s="182"/>
      <c r="B468" s="182"/>
      <c r="C468" s="182"/>
      <c r="D468" s="182"/>
      <c r="E468" s="182"/>
      <c r="F468" s="182"/>
      <c r="G468" s="263"/>
      <c r="H468" s="182"/>
      <c r="I468" s="182"/>
      <c r="J468" s="182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</row>
    <row r="469">
      <c r="A469" s="182"/>
      <c r="B469" s="182"/>
      <c r="C469" s="182"/>
      <c r="D469" s="182"/>
      <c r="E469" s="182"/>
      <c r="F469" s="182"/>
      <c r="G469" s="263"/>
      <c r="H469" s="182"/>
      <c r="I469" s="182"/>
      <c r="J469" s="182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</row>
    <row r="470">
      <c r="A470" s="182"/>
      <c r="B470" s="182"/>
      <c r="C470" s="182"/>
      <c r="D470" s="182"/>
      <c r="E470" s="182"/>
      <c r="F470" s="182"/>
      <c r="G470" s="263"/>
      <c r="H470" s="182"/>
      <c r="I470" s="182"/>
      <c r="J470" s="182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</row>
    <row r="471">
      <c r="A471" s="182"/>
      <c r="B471" s="182"/>
      <c r="C471" s="182"/>
      <c r="D471" s="182"/>
      <c r="E471" s="182"/>
      <c r="F471" s="182"/>
      <c r="G471" s="263"/>
      <c r="H471" s="182"/>
      <c r="I471" s="182"/>
      <c r="J471" s="182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</row>
    <row r="472">
      <c r="A472" s="182"/>
      <c r="B472" s="182"/>
      <c r="C472" s="182"/>
      <c r="D472" s="182"/>
      <c r="E472" s="182"/>
      <c r="F472" s="182"/>
      <c r="G472" s="263"/>
      <c r="H472" s="182"/>
      <c r="I472" s="182"/>
      <c r="J472" s="182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</row>
    <row r="473">
      <c r="A473" s="182"/>
      <c r="B473" s="182"/>
      <c r="C473" s="182"/>
      <c r="D473" s="182"/>
      <c r="E473" s="182"/>
      <c r="F473" s="182"/>
      <c r="G473" s="263"/>
      <c r="H473" s="182"/>
      <c r="I473" s="182"/>
      <c r="J473" s="182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</row>
    <row r="474">
      <c r="A474" s="182"/>
      <c r="B474" s="182"/>
      <c r="C474" s="182"/>
      <c r="D474" s="182"/>
      <c r="E474" s="182"/>
      <c r="F474" s="182"/>
      <c r="G474" s="263"/>
      <c r="H474" s="182"/>
      <c r="I474" s="182"/>
      <c r="J474" s="182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</row>
    <row r="475">
      <c r="A475" s="182"/>
      <c r="B475" s="182"/>
      <c r="C475" s="182"/>
      <c r="D475" s="182"/>
      <c r="E475" s="182"/>
      <c r="F475" s="182"/>
      <c r="G475" s="263"/>
      <c r="H475" s="182"/>
      <c r="I475" s="182"/>
      <c r="J475" s="182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</row>
    <row r="476">
      <c r="A476" s="182"/>
      <c r="B476" s="182"/>
      <c r="C476" s="182"/>
      <c r="D476" s="182"/>
      <c r="E476" s="182"/>
      <c r="F476" s="182"/>
      <c r="G476" s="263"/>
      <c r="H476" s="182"/>
      <c r="I476" s="182"/>
      <c r="J476" s="182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</row>
    <row r="477">
      <c r="A477" s="182"/>
      <c r="B477" s="182"/>
      <c r="C477" s="182"/>
      <c r="D477" s="182"/>
      <c r="E477" s="182"/>
      <c r="F477" s="182"/>
      <c r="G477" s="263"/>
      <c r="H477" s="182"/>
      <c r="I477" s="182"/>
      <c r="J477" s="182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</row>
    <row r="478">
      <c r="A478" s="182"/>
      <c r="B478" s="182"/>
      <c r="C478" s="182"/>
      <c r="D478" s="182"/>
      <c r="E478" s="182"/>
      <c r="F478" s="182"/>
      <c r="G478" s="263"/>
      <c r="H478" s="182"/>
      <c r="I478" s="182"/>
      <c r="J478" s="182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</row>
    <row r="479">
      <c r="A479" s="182"/>
      <c r="B479" s="182"/>
      <c r="C479" s="182"/>
      <c r="D479" s="182"/>
      <c r="E479" s="182"/>
      <c r="F479" s="182"/>
      <c r="G479" s="263"/>
      <c r="H479" s="182"/>
      <c r="I479" s="182"/>
      <c r="J479" s="182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</row>
    <row r="480">
      <c r="A480" s="182"/>
      <c r="B480" s="182"/>
      <c r="C480" s="182"/>
      <c r="D480" s="182"/>
      <c r="E480" s="182"/>
      <c r="F480" s="182"/>
      <c r="G480" s="263"/>
      <c r="H480" s="182"/>
      <c r="I480" s="182"/>
      <c r="J480" s="182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</row>
    <row r="481">
      <c r="A481" s="182"/>
      <c r="B481" s="182"/>
      <c r="C481" s="182"/>
      <c r="D481" s="182"/>
      <c r="E481" s="182"/>
      <c r="F481" s="182"/>
      <c r="G481" s="263"/>
      <c r="H481" s="182"/>
      <c r="I481" s="182"/>
      <c r="J481" s="182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</row>
    <row r="482">
      <c r="A482" s="182"/>
      <c r="B482" s="182"/>
      <c r="C482" s="182"/>
      <c r="D482" s="182"/>
      <c r="E482" s="182"/>
      <c r="F482" s="182"/>
      <c r="G482" s="263"/>
      <c r="H482" s="182"/>
      <c r="I482" s="182"/>
      <c r="J482" s="182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</row>
    <row r="483">
      <c r="A483" s="182"/>
      <c r="B483" s="182"/>
      <c r="C483" s="182"/>
      <c r="D483" s="182"/>
      <c r="E483" s="182"/>
      <c r="F483" s="182"/>
      <c r="G483" s="263"/>
      <c r="H483" s="182"/>
      <c r="I483" s="182"/>
      <c r="J483" s="182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</row>
    <row r="484">
      <c r="A484" s="182"/>
      <c r="B484" s="182"/>
      <c r="C484" s="182"/>
      <c r="D484" s="182"/>
      <c r="E484" s="182"/>
      <c r="F484" s="182"/>
      <c r="G484" s="263"/>
      <c r="H484" s="182"/>
      <c r="I484" s="182"/>
      <c r="J484" s="182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</row>
    <row r="485">
      <c r="A485" s="182"/>
      <c r="B485" s="182"/>
      <c r="C485" s="182"/>
      <c r="D485" s="182"/>
      <c r="E485" s="182"/>
      <c r="F485" s="182"/>
      <c r="G485" s="263"/>
      <c r="H485" s="182"/>
      <c r="I485" s="182"/>
      <c r="J485" s="182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</row>
    <row r="486">
      <c r="A486" s="182"/>
      <c r="B486" s="182"/>
      <c r="C486" s="182"/>
      <c r="D486" s="182"/>
      <c r="E486" s="182"/>
      <c r="F486" s="182"/>
      <c r="G486" s="263"/>
      <c r="H486" s="182"/>
      <c r="I486" s="182"/>
      <c r="J486" s="182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</row>
    <row r="487">
      <c r="A487" s="182"/>
      <c r="B487" s="182"/>
      <c r="C487" s="182"/>
      <c r="D487" s="182"/>
      <c r="E487" s="182"/>
      <c r="F487" s="182"/>
      <c r="G487" s="263"/>
      <c r="H487" s="182"/>
      <c r="I487" s="182"/>
      <c r="J487" s="182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</row>
    <row r="488">
      <c r="A488" s="182"/>
      <c r="B488" s="182"/>
      <c r="C488" s="182"/>
      <c r="D488" s="182"/>
      <c r="E488" s="182"/>
      <c r="F488" s="182"/>
      <c r="G488" s="263"/>
      <c r="H488" s="182"/>
      <c r="I488" s="182"/>
      <c r="J488" s="182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</row>
    <row r="489">
      <c r="A489" s="182"/>
      <c r="B489" s="182"/>
      <c r="C489" s="182"/>
      <c r="D489" s="182"/>
      <c r="E489" s="182"/>
      <c r="F489" s="182"/>
      <c r="G489" s="263"/>
      <c r="H489" s="182"/>
      <c r="I489" s="182"/>
      <c r="J489" s="182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</row>
    <row r="490">
      <c r="A490" s="182"/>
      <c r="B490" s="182"/>
      <c r="C490" s="182"/>
      <c r="D490" s="182"/>
      <c r="E490" s="182"/>
      <c r="F490" s="182"/>
      <c r="G490" s="263"/>
      <c r="H490" s="182"/>
      <c r="I490" s="182"/>
      <c r="J490" s="182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</row>
    <row r="491">
      <c r="A491" s="182"/>
      <c r="B491" s="182"/>
      <c r="C491" s="182"/>
      <c r="D491" s="182"/>
      <c r="E491" s="182"/>
      <c r="F491" s="182"/>
      <c r="G491" s="263"/>
      <c r="H491" s="182"/>
      <c r="I491" s="182"/>
      <c r="J491" s="182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</row>
    <row r="492">
      <c r="A492" s="182"/>
      <c r="B492" s="182"/>
      <c r="C492" s="182"/>
      <c r="D492" s="182"/>
      <c r="E492" s="182"/>
      <c r="F492" s="182"/>
      <c r="G492" s="263"/>
      <c r="H492" s="182"/>
      <c r="I492" s="182"/>
      <c r="J492" s="182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</row>
    <row r="493">
      <c r="A493" s="182"/>
      <c r="B493" s="182"/>
      <c r="C493" s="182"/>
      <c r="D493" s="182"/>
      <c r="E493" s="182"/>
      <c r="F493" s="182"/>
      <c r="G493" s="263"/>
      <c r="H493" s="182"/>
      <c r="I493" s="182"/>
      <c r="J493" s="182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</row>
    <row r="494">
      <c r="A494" s="182"/>
      <c r="B494" s="182"/>
      <c r="C494" s="182"/>
      <c r="D494" s="182"/>
      <c r="E494" s="182"/>
      <c r="F494" s="182"/>
      <c r="G494" s="263"/>
      <c r="H494" s="182"/>
      <c r="I494" s="182"/>
      <c r="J494" s="182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</row>
    <row r="495">
      <c r="A495" s="182"/>
      <c r="B495" s="182"/>
      <c r="C495" s="182"/>
      <c r="D495" s="182"/>
      <c r="E495" s="182"/>
      <c r="F495" s="182"/>
      <c r="G495" s="263"/>
      <c r="H495" s="182"/>
      <c r="I495" s="182"/>
      <c r="J495" s="182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</row>
    <row r="496">
      <c r="A496" s="182"/>
      <c r="B496" s="182"/>
      <c r="C496" s="182"/>
      <c r="D496" s="182"/>
      <c r="E496" s="182"/>
      <c r="F496" s="182"/>
      <c r="G496" s="263"/>
      <c r="H496" s="182"/>
      <c r="I496" s="182"/>
      <c r="J496" s="182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</row>
    <row r="497">
      <c r="A497" s="182"/>
      <c r="B497" s="182"/>
      <c r="C497" s="182"/>
      <c r="D497" s="182"/>
      <c r="E497" s="182"/>
      <c r="F497" s="182"/>
      <c r="G497" s="263"/>
      <c r="H497" s="182"/>
      <c r="I497" s="182"/>
      <c r="J497" s="182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</row>
    <row r="498">
      <c r="A498" s="182"/>
      <c r="B498" s="182"/>
      <c r="C498" s="182"/>
      <c r="D498" s="182"/>
      <c r="E498" s="182"/>
      <c r="F498" s="182"/>
      <c r="G498" s="263"/>
      <c r="H498" s="182"/>
      <c r="I498" s="182"/>
      <c r="J498" s="182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</row>
    <row r="499">
      <c r="A499" s="182"/>
      <c r="B499" s="182"/>
      <c r="C499" s="182"/>
      <c r="D499" s="182"/>
      <c r="E499" s="182"/>
      <c r="F499" s="182"/>
      <c r="G499" s="263"/>
      <c r="H499" s="182"/>
      <c r="I499" s="182"/>
      <c r="J499" s="182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</row>
    <row r="500">
      <c r="A500" s="182"/>
      <c r="B500" s="182"/>
      <c r="C500" s="182"/>
      <c r="D500" s="182"/>
      <c r="E500" s="182"/>
      <c r="F500" s="182"/>
      <c r="G500" s="263"/>
      <c r="H500" s="182"/>
      <c r="I500" s="182"/>
      <c r="J500" s="182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</row>
    <row r="501">
      <c r="A501" s="182"/>
      <c r="B501" s="182"/>
      <c r="C501" s="182"/>
      <c r="D501" s="182"/>
      <c r="E501" s="182"/>
      <c r="F501" s="182"/>
      <c r="G501" s="263"/>
      <c r="H501" s="182"/>
      <c r="I501" s="182"/>
      <c r="J501" s="182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</row>
    <row r="502">
      <c r="A502" s="182"/>
      <c r="B502" s="182"/>
      <c r="C502" s="182"/>
      <c r="D502" s="182"/>
      <c r="E502" s="182"/>
      <c r="F502" s="182"/>
      <c r="G502" s="263"/>
      <c r="H502" s="182"/>
      <c r="I502" s="182"/>
      <c r="J502" s="182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</row>
    <row r="503">
      <c r="A503" s="182"/>
      <c r="B503" s="182"/>
      <c r="C503" s="182"/>
      <c r="D503" s="182"/>
      <c r="E503" s="182"/>
      <c r="F503" s="182"/>
      <c r="G503" s="263"/>
      <c r="H503" s="182"/>
      <c r="I503" s="182"/>
      <c r="J503" s="182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</row>
    <row r="504">
      <c r="A504" s="182"/>
      <c r="B504" s="182"/>
      <c r="C504" s="182"/>
      <c r="D504" s="182"/>
      <c r="E504" s="182"/>
      <c r="F504" s="182"/>
      <c r="G504" s="263"/>
      <c r="H504" s="182"/>
      <c r="I504" s="182"/>
      <c r="J504" s="182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</row>
    <row r="505">
      <c r="A505" s="182"/>
      <c r="B505" s="182"/>
      <c r="C505" s="182"/>
      <c r="D505" s="182"/>
      <c r="E505" s="182"/>
      <c r="F505" s="182"/>
      <c r="G505" s="263"/>
      <c r="H505" s="182"/>
      <c r="I505" s="182"/>
      <c r="J505" s="182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</row>
    <row r="506">
      <c r="A506" s="182"/>
      <c r="B506" s="182"/>
      <c r="C506" s="182"/>
      <c r="D506" s="182"/>
      <c r="E506" s="182"/>
      <c r="F506" s="182"/>
      <c r="G506" s="263"/>
      <c r="H506" s="182"/>
      <c r="I506" s="182"/>
      <c r="J506" s="182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</row>
    <row r="507">
      <c r="A507" s="182"/>
      <c r="B507" s="182"/>
      <c r="C507" s="182"/>
      <c r="D507" s="182"/>
      <c r="E507" s="182"/>
      <c r="F507" s="182"/>
      <c r="G507" s="263"/>
      <c r="H507" s="182"/>
      <c r="I507" s="182"/>
      <c r="J507" s="182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</row>
    <row r="508">
      <c r="A508" s="182"/>
      <c r="B508" s="182"/>
      <c r="C508" s="182"/>
      <c r="D508" s="182"/>
      <c r="E508" s="182"/>
      <c r="F508" s="182"/>
      <c r="G508" s="263"/>
      <c r="H508" s="182"/>
      <c r="I508" s="182"/>
      <c r="J508" s="182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</row>
    <row r="509">
      <c r="A509" s="182"/>
      <c r="B509" s="182"/>
      <c r="C509" s="182"/>
      <c r="D509" s="182"/>
      <c r="E509" s="182"/>
      <c r="F509" s="182"/>
      <c r="G509" s="263"/>
      <c r="H509" s="182"/>
      <c r="I509" s="182"/>
      <c r="J509" s="182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</row>
    <row r="510">
      <c r="A510" s="182"/>
      <c r="B510" s="182"/>
      <c r="C510" s="182"/>
      <c r="D510" s="182"/>
      <c r="E510" s="182"/>
      <c r="F510" s="182"/>
      <c r="G510" s="263"/>
      <c r="H510" s="182"/>
      <c r="I510" s="182"/>
      <c r="J510" s="182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</row>
    <row r="511">
      <c r="A511" s="182"/>
      <c r="B511" s="182"/>
      <c r="C511" s="182"/>
      <c r="D511" s="182"/>
      <c r="E511" s="182"/>
      <c r="F511" s="182"/>
      <c r="G511" s="263"/>
      <c r="H511" s="182"/>
      <c r="I511" s="182"/>
      <c r="J511" s="182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</row>
    <row r="512">
      <c r="A512" s="182"/>
      <c r="B512" s="182"/>
      <c r="C512" s="182"/>
      <c r="D512" s="182"/>
      <c r="E512" s="182"/>
      <c r="F512" s="182"/>
      <c r="G512" s="263"/>
      <c r="H512" s="182"/>
      <c r="I512" s="182"/>
      <c r="J512" s="182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</row>
    <row r="513">
      <c r="A513" s="182"/>
      <c r="B513" s="182"/>
      <c r="C513" s="182"/>
      <c r="D513" s="182"/>
      <c r="E513" s="182"/>
      <c r="F513" s="182"/>
      <c r="G513" s="263"/>
      <c r="H513" s="182"/>
      <c r="I513" s="182"/>
      <c r="J513" s="182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</row>
    <row r="514">
      <c r="A514" s="182"/>
      <c r="B514" s="182"/>
      <c r="C514" s="182"/>
      <c r="D514" s="182"/>
      <c r="E514" s="182"/>
      <c r="F514" s="182"/>
      <c r="G514" s="263"/>
      <c r="H514" s="182"/>
      <c r="I514" s="182"/>
      <c r="J514" s="182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</row>
    <row r="515">
      <c r="A515" s="182"/>
      <c r="B515" s="182"/>
      <c r="C515" s="182"/>
      <c r="D515" s="182"/>
      <c r="E515" s="182"/>
      <c r="F515" s="182"/>
      <c r="G515" s="263"/>
      <c r="H515" s="182"/>
      <c r="I515" s="182"/>
      <c r="J515" s="182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</row>
    <row r="516">
      <c r="A516" s="182"/>
      <c r="B516" s="182"/>
      <c r="C516" s="182"/>
      <c r="D516" s="182"/>
      <c r="E516" s="182"/>
      <c r="F516" s="182"/>
      <c r="G516" s="263"/>
      <c r="H516" s="182"/>
      <c r="I516" s="182"/>
      <c r="J516" s="182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</row>
    <row r="517">
      <c r="A517" s="182"/>
      <c r="B517" s="182"/>
      <c r="C517" s="182"/>
      <c r="D517" s="182"/>
      <c r="E517" s="182"/>
      <c r="F517" s="182"/>
      <c r="G517" s="263"/>
      <c r="H517" s="182"/>
      <c r="I517" s="182"/>
      <c r="J517" s="182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</row>
    <row r="518">
      <c r="A518" s="182"/>
      <c r="B518" s="182"/>
      <c r="C518" s="182"/>
      <c r="D518" s="182"/>
      <c r="E518" s="182"/>
      <c r="F518" s="182"/>
      <c r="G518" s="263"/>
      <c r="H518" s="182"/>
      <c r="I518" s="182"/>
      <c r="J518" s="182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</row>
    <row r="519">
      <c r="A519" s="182"/>
      <c r="B519" s="182"/>
      <c r="C519" s="182"/>
      <c r="D519" s="182"/>
      <c r="E519" s="182"/>
      <c r="F519" s="182"/>
      <c r="G519" s="263"/>
      <c r="H519" s="182"/>
      <c r="I519" s="182"/>
      <c r="J519" s="182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</row>
    <row r="520">
      <c r="A520" s="182"/>
      <c r="B520" s="182"/>
      <c r="C520" s="182"/>
      <c r="D520" s="182"/>
      <c r="E520" s="182"/>
      <c r="F520" s="182"/>
      <c r="G520" s="263"/>
      <c r="H520" s="182"/>
      <c r="I520" s="182"/>
      <c r="J520" s="182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</row>
    <row r="521">
      <c r="A521" s="182"/>
      <c r="B521" s="182"/>
      <c r="C521" s="182"/>
      <c r="D521" s="182"/>
      <c r="E521" s="182"/>
      <c r="F521" s="182"/>
      <c r="G521" s="263"/>
      <c r="H521" s="182"/>
      <c r="I521" s="182"/>
      <c r="J521" s="182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</row>
    <row r="522">
      <c r="A522" s="182"/>
      <c r="B522" s="182"/>
      <c r="C522" s="182"/>
      <c r="D522" s="182"/>
      <c r="E522" s="182"/>
      <c r="F522" s="182"/>
      <c r="G522" s="263"/>
      <c r="H522" s="182"/>
      <c r="I522" s="182"/>
      <c r="J522" s="182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</row>
    <row r="523">
      <c r="A523" s="182"/>
      <c r="B523" s="182"/>
      <c r="C523" s="182"/>
      <c r="D523" s="182"/>
      <c r="E523" s="182"/>
      <c r="F523" s="182"/>
      <c r="G523" s="263"/>
      <c r="H523" s="182"/>
      <c r="I523" s="182"/>
      <c r="J523" s="182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</row>
    <row r="524">
      <c r="A524" s="182"/>
      <c r="B524" s="182"/>
      <c r="C524" s="182"/>
      <c r="D524" s="182"/>
      <c r="E524" s="182"/>
      <c r="F524" s="182"/>
      <c r="G524" s="263"/>
      <c r="H524" s="182"/>
      <c r="I524" s="182"/>
      <c r="J524" s="182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</row>
    <row r="525">
      <c r="A525" s="182"/>
      <c r="B525" s="182"/>
      <c r="C525" s="182"/>
      <c r="D525" s="182"/>
      <c r="E525" s="182"/>
      <c r="F525" s="182"/>
      <c r="G525" s="263"/>
      <c r="H525" s="182"/>
      <c r="I525" s="182"/>
      <c r="J525" s="182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</row>
    <row r="526">
      <c r="A526" s="182"/>
      <c r="B526" s="182"/>
      <c r="C526" s="182"/>
      <c r="D526" s="182"/>
      <c r="E526" s="182"/>
      <c r="F526" s="182"/>
      <c r="G526" s="263"/>
      <c r="H526" s="182"/>
      <c r="I526" s="182"/>
      <c r="J526" s="182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</row>
    <row r="527">
      <c r="A527" s="182"/>
      <c r="B527" s="182"/>
      <c r="C527" s="182"/>
      <c r="D527" s="182"/>
      <c r="E527" s="182"/>
      <c r="F527" s="182"/>
      <c r="G527" s="263"/>
      <c r="H527" s="182"/>
      <c r="I527" s="182"/>
      <c r="J527" s="182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</row>
    <row r="528">
      <c r="A528" s="182"/>
      <c r="B528" s="182"/>
      <c r="C528" s="182"/>
      <c r="D528" s="182"/>
      <c r="E528" s="182"/>
      <c r="F528" s="182"/>
      <c r="G528" s="263"/>
      <c r="H528" s="182"/>
      <c r="I528" s="182"/>
      <c r="J528" s="182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</row>
    <row r="529">
      <c r="A529" s="182"/>
      <c r="B529" s="182"/>
      <c r="C529" s="182"/>
      <c r="D529" s="182"/>
      <c r="E529" s="182"/>
      <c r="F529" s="182"/>
      <c r="G529" s="263"/>
      <c r="H529" s="182"/>
      <c r="I529" s="182"/>
      <c r="J529" s="182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</row>
    <row r="530">
      <c r="A530" s="182"/>
      <c r="B530" s="182"/>
      <c r="C530" s="182"/>
      <c r="D530" s="182"/>
      <c r="E530" s="182"/>
      <c r="F530" s="182"/>
      <c r="G530" s="263"/>
      <c r="H530" s="182"/>
      <c r="I530" s="182"/>
      <c r="J530" s="182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</row>
    <row r="531">
      <c r="A531" s="182"/>
      <c r="B531" s="182"/>
      <c r="C531" s="182"/>
      <c r="D531" s="182"/>
      <c r="E531" s="182"/>
      <c r="F531" s="182"/>
      <c r="G531" s="263"/>
      <c r="H531" s="182"/>
      <c r="I531" s="182"/>
      <c r="J531" s="182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</row>
    <row r="532">
      <c r="A532" s="182"/>
      <c r="B532" s="182"/>
      <c r="C532" s="182"/>
      <c r="D532" s="182"/>
      <c r="E532" s="182"/>
      <c r="F532" s="182"/>
      <c r="G532" s="263"/>
      <c r="H532" s="182"/>
      <c r="I532" s="182"/>
      <c r="J532" s="182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</row>
    <row r="533">
      <c r="A533" s="182"/>
      <c r="B533" s="182"/>
      <c r="C533" s="182"/>
      <c r="D533" s="182"/>
      <c r="E533" s="182"/>
      <c r="F533" s="182"/>
      <c r="G533" s="263"/>
      <c r="H533" s="182"/>
      <c r="I533" s="182"/>
      <c r="J533" s="182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</row>
    <row r="534">
      <c r="A534" s="182"/>
      <c r="B534" s="182"/>
      <c r="C534" s="182"/>
      <c r="D534" s="182"/>
      <c r="E534" s="182"/>
      <c r="F534" s="182"/>
      <c r="G534" s="263"/>
      <c r="H534" s="182"/>
      <c r="I534" s="182"/>
      <c r="J534" s="182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</row>
    <row r="535">
      <c r="A535" s="182"/>
      <c r="B535" s="182"/>
      <c r="C535" s="182"/>
      <c r="D535" s="182"/>
      <c r="E535" s="182"/>
      <c r="F535" s="182"/>
      <c r="G535" s="263"/>
      <c r="H535" s="182"/>
      <c r="I535" s="182"/>
      <c r="J535" s="182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</row>
    <row r="536">
      <c r="A536" s="182"/>
      <c r="B536" s="182"/>
      <c r="C536" s="182"/>
      <c r="D536" s="182"/>
      <c r="E536" s="182"/>
      <c r="F536" s="182"/>
      <c r="G536" s="263"/>
      <c r="H536" s="182"/>
      <c r="I536" s="182"/>
      <c r="J536" s="182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</row>
    <row r="537">
      <c r="A537" s="182"/>
      <c r="B537" s="182"/>
      <c r="C537" s="182"/>
      <c r="D537" s="182"/>
      <c r="E537" s="182"/>
      <c r="F537" s="182"/>
      <c r="G537" s="263"/>
      <c r="H537" s="182"/>
      <c r="I537" s="182"/>
      <c r="J537" s="182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</row>
    <row r="538">
      <c r="A538" s="182"/>
      <c r="B538" s="182"/>
      <c r="C538" s="182"/>
      <c r="D538" s="182"/>
      <c r="E538" s="182"/>
      <c r="F538" s="182"/>
      <c r="G538" s="263"/>
      <c r="H538" s="182"/>
      <c r="I538" s="182"/>
      <c r="J538" s="182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</row>
    <row r="539">
      <c r="A539" s="182"/>
      <c r="B539" s="182"/>
      <c r="C539" s="182"/>
      <c r="D539" s="182"/>
      <c r="E539" s="182"/>
      <c r="F539" s="182"/>
      <c r="G539" s="263"/>
      <c r="H539" s="182"/>
      <c r="I539" s="182"/>
      <c r="J539" s="182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</row>
    <row r="540">
      <c r="A540" s="182"/>
      <c r="B540" s="182"/>
      <c r="C540" s="182"/>
      <c r="D540" s="182"/>
      <c r="E540" s="182"/>
      <c r="F540" s="182"/>
      <c r="G540" s="263"/>
      <c r="H540" s="182"/>
      <c r="I540" s="182"/>
      <c r="J540" s="182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</row>
    <row r="541">
      <c r="A541" s="182"/>
      <c r="B541" s="182"/>
      <c r="C541" s="182"/>
      <c r="D541" s="182"/>
      <c r="E541" s="182"/>
      <c r="F541" s="182"/>
      <c r="G541" s="263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</row>
    <row r="542">
      <c r="A542" s="182"/>
      <c r="B542" s="182"/>
      <c r="C542" s="182"/>
      <c r="D542" s="182"/>
      <c r="E542" s="182"/>
      <c r="F542" s="182"/>
      <c r="G542" s="263"/>
      <c r="H542" s="182"/>
      <c r="I542" s="182"/>
      <c r="J542" s="182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</row>
    <row r="543">
      <c r="A543" s="182"/>
      <c r="B543" s="182"/>
      <c r="C543" s="182"/>
      <c r="D543" s="182"/>
      <c r="E543" s="182"/>
      <c r="F543" s="182"/>
      <c r="G543" s="263"/>
      <c r="H543" s="182"/>
      <c r="I543" s="182"/>
      <c r="J543" s="182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</row>
    <row r="544">
      <c r="A544" s="182"/>
      <c r="B544" s="182"/>
      <c r="C544" s="182"/>
      <c r="D544" s="182"/>
      <c r="E544" s="182"/>
      <c r="F544" s="182"/>
      <c r="G544" s="263"/>
      <c r="H544" s="182"/>
      <c r="I544" s="182"/>
      <c r="J544" s="182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</row>
    <row r="545">
      <c r="A545" s="182"/>
      <c r="B545" s="182"/>
      <c r="C545" s="182"/>
      <c r="D545" s="182"/>
      <c r="E545" s="182"/>
      <c r="F545" s="182"/>
      <c r="G545" s="263"/>
      <c r="H545" s="182"/>
      <c r="I545" s="182"/>
      <c r="J545" s="182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</row>
    <row r="546">
      <c r="A546" s="182"/>
      <c r="B546" s="182"/>
      <c r="C546" s="182"/>
      <c r="D546" s="182"/>
      <c r="E546" s="182"/>
      <c r="F546" s="182"/>
      <c r="G546" s="263"/>
      <c r="H546" s="182"/>
      <c r="I546" s="182"/>
      <c r="J546" s="182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</row>
    <row r="547">
      <c r="A547" s="182"/>
      <c r="B547" s="182"/>
      <c r="C547" s="182"/>
      <c r="D547" s="182"/>
      <c r="E547" s="182"/>
      <c r="F547" s="182"/>
      <c r="G547" s="263"/>
      <c r="H547" s="182"/>
      <c r="I547" s="182"/>
      <c r="J547" s="182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</row>
    <row r="548">
      <c r="A548" s="182"/>
      <c r="B548" s="182"/>
      <c r="C548" s="182"/>
      <c r="D548" s="182"/>
      <c r="E548" s="182"/>
      <c r="F548" s="182"/>
      <c r="G548" s="263"/>
      <c r="H548" s="182"/>
      <c r="I548" s="182"/>
      <c r="J548" s="182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</row>
    <row r="549">
      <c r="A549" s="182"/>
      <c r="B549" s="182"/>
      <c r="C549" s="182"/>
      <c r="D549" s="182"/>
      <c r="E549" s="182"/>
      <c r="F549" s="182"/>
      <c r="G549" s="263"/>
      <c r="H549" s="182"/>
      <c r="I549" s="182"/>
      <c r="J549" s="182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</row>
    <row r="550">
      <c r="A550" s="182"/>
      <c r="B550" s="182"/>
      <c r="C550" s="182"/>
      <c r="D550" s="182"/>
      <c r="E550" s="182"/>
      <c r="F550" s="182"/>
      <c r="G550" s="263"/>
      <c r="H550" s="182"/>
      <c r="I550" s="182"/>
      <c r="J550" s="182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</row>
    <row r="551">
      <c r="A551" s="182"/>
      <c r="B551" s="182"/>
      <c r="C551" s="182"/>
      <c r="D551" s="182"/>
      <c r="E551" s="182"/>
      <c r="F551" s="182"/>
      <c r="G551" s="263"/>
      <c r="H551" s="182"/>
      <c r="I551" s="182"/>
      <c r="J551" s="182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</row>
    <row r="552">
      <c r="A552" s="182"/>
      <c r="B552" s="182"/>
      <c r="C552" s="182"/>
      <c r="D552" s="182"/>
      <c r="E552" s="182"/>
      <c r="F552" s="182"/>
      <c r="G552" s="263"/>
      <c r="H552" s="182"/>
      <c r="I552" s="182"/>
      <c r="J552" s="182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</row>
    <row r="553">
      <c r="A553" s="182"/>
      <c r="B553" s="182"/>
      <c r="C553" s="182"/>
      <c r="D553" s="182"/>
      <c r="E553" s="182"/>
      <c r="F553" s="182"/>
      <c r="G553" s="263"/>
      <c r="H553" s="182"/>
      <c r="I553" s="182"/>
      <c r="J553" s="182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</row>
    <row r="554">
      <c r="A554" s="182"/>
      <c r="B554" s="182"/>
      <c r="C554" s="182"/>
      <c r="D554" s="182"/>
      <c r="E554" s="182"/>
      <c r="F554" s="182"/>
      <c r="G554" s="263"/>
      <c r="H554" s="182"/>
      <c r="I554" s="182"/>
      <c r="J554" s="182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</row>
    <row r="555">
      <c r="A555" s="182"/>
      <c r="B555" s="182"/>
      <c r="C555" s="182"/>
      <c r="D555" s="182"/>
      <c r="E555" s="182"/>
      <c r="F555" s="182"/>
      <c r="G555" s="263"/>
      <c r="H555" s="182"/>
      <c r="I555" s="182"/>
      <c r="J555" s="182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</row>
    <row r="556">
      <c r="A556" s="182"/>
      <c r="B556" s="182"/>
      <c r="C556" s="182"/>
      <c r="D556" s="182"/>
      <c r="E556" s="182"/>
      <c r="F556" s="182"/>
      <c r="G556" s="263"/>
      <c r="H556" s="182"/>
      <c r="I556" s="182"/>
      <c r="J556" s="182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</row>
    <row r="557">
      <c r="A557" s="182"/>
      <c r="B557" s="182"/>
      <c r="C557" s="182"/>
      <c r="D557" s="182"/>
      <c r="E557" s="182"/>
      <c r="F557" s="182"/>
      <c r="G557" s="263"/>
      <c r="H557" s="182"/>
      <c r="I557" s="182"/>
      <c r="J557" s="182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</row>
    <row r="558">
      <c r="A558" s="182"/>
      <c r="B558" s="182"/>
      <c r="C558" s="182"/>
      <c r="D558" s="182"/>
      <c r="E558" s="182"/>
      <c r="F558" s="182"/>
      <c r="G558" s="263"/>
      <c r="H558" s="182"/>
      <c r="I558" s="182"/>
      <c r="J558" s="182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</row>
    <row r="559">
      <c r="A559" s="182"/>
      <c r="B559" s="182"/>
      <c r="C559" s="182"/>
      <c r="D559" s="182"/>
      <c r="E559" s="182"/>
      <c r="F559" s="182"/>
      <c r="G559" s="263"/>
      <c r="H559" s="182"/>
      <c r="I559" s="182"/>
      <c r="J559" s="182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</row>
    <row r="560">
      <c r="A560" s="182"/>
      <c r="B560" s="182"/>
      <c r="C560" s="182"/>
      <c r="D560" s="182"/>
      <c r="E560" s="182"/>
      <c r="F560" s="182"/>
      <c r="G560" s="263"/>
      <c r="H560" s="182"/>
      <c r="I560" s="182"/>
      <c r="J560" s="182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</row>
    <row r="561">
      <c r="A561" s="182"/>
      <c r="B561" s="182"/>
      <c r="C561" s="182"/>
      <c r="D561" s="182"/>
      <c r="E561" s="182"/>
      <c r="F561" s="182"/>
      <c r="G561" s="263"/>
      <c r="H561" s="182"/>
      <c r="I561" s="182"/>
      <c r="J561" s="182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</row>
    <row r="562">
      <c r="A562" s="182"/>
      <c r="B562" s="182"/>
      <c r="C562" s="182"/>
      <c r="D562" s="182"/>
      <c r="E562" s="182"/>
      <c r="F562" s="182"/>
      <c r="G562" s="263"/>
      <c r="H562" s="182"/>
      <c r="I562" s="182"/>
      <c r="J562" s="182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</row>
    <row r="563">
      <c r="A563" s="182"/>
      <c r="B563" s="182"/>
      <c r="C563" s="182"/>
      <c r="D563" s="182"/>
      <c r="E563" s="182"/>
      <c r="F563" s="182"/>
      <c r="G563" s="263"/>
      <c r="H563" s="182"/>
      <c r="I563" s="182"/>
      <c r="J563" s="182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</row>
    <row r="564">
      <c r="A564" s="182"/>
      <c r="B564" s="182"/>
      <c r="C564" s="182"/>
      <c r="D564" s="182"/>
      <c r="E564" s="182"/>
      <c r="F564" s="182"/>
      <c r="G564" s="263"/>
      <c r="H564" s="182"/>
      <c r="I564" s="182"/>
      <c r="J564" s="182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</row>
    <row r="565">
      <c r="A565" s="182"/>
      <c r="B565" s="182"/>
      <c r="C565" s="182"/>
      <c r="D565" s="182"/>
      <c r="E565" s="182"/>
      <c r="F565" s="182"/>
      <c r="G565" s="263"/>
      <c r="H565" s="182"/>
      <c r="I565" s="182"/>
      <c r="J565" s="182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</row>
    <row r="566">
      <c r="A566" s="182"/>
      <c r="B566" s="182"/>
      <c r="C566" s="182"/>
      <c r="D566" s="182"/>
      <c r="E566" s="182"/>
      <c r="F566" s="182"/>
      <c r="G566" s="263"/>
      <c r="H566" s="182"/>
      <c r="I566" s="182"/>
      <c r="J566" s="182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</row>
    <row r="567">
      <c r="A567" s="182"/>
      <c r="B567" s="182"/>
      <c r="C567" s="182"/>
      <c r="D567" s="182"/>
      <c r="E567" s="182"/>
      <c r="F567" s="182"/>
      <c r="G567" s="263"/>
      <c r="H567" s="182"/>
      <c r="I567" s="182"/>
      <c r="J567" s="182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</row>
    <row r="568">
      <c r="A568" s="182"/>
      <c r="B568" s="182"/>
      <c r="C568" s="182"/>
      <c r="D568" s="182"/>
      <c r="E568" s="182"/>
      <c r="F568" s="182"/>
      <c r="G568" s="263"/>
      <c r="H568" s="182"/>
      <c r="I568" s="182"/>
      <c r="J568" s="182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</row>
    <row r="569">
      <c r="A569" s="182"/>
      <c r="B569" s="182"/>
      <c r="C569" s="182"/>
      <c r="D569" s="182"/>
      <c r="E569" s="182"/>
      <c r="F569" s="182"/>
      <c r="G569" s="263"/>
      <c r="H569" s="182"/>
      <c r="I569" s="182"/>
      <c r="J569" s="182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</row>
    <row r="570">
      <c r="A570" s="182"/>
      <c r="B570" s="182"/>
      <c r="C570" s="182"/>
      <c r="D570" s="182"/>
      <c r="E570" s="182"/>
      <c r="F570" s="182"/>
      <c r="G570" s="263"/>
      <c r="H570" s="182"/>
      <c r="I570" s="182"/>
      <c r="J570" s="182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</row>
    <row r="571">
      <c r="A571" s="182"/>
      <c r="B571" s="182"/>
      <c r="C571" s="182"/>
      <c r="D571" s="182"/>
      <c r="E571" s="182"/>
      <c r="F571" s="182"/>
      <c r="G571" s="263"/>
      <c r="H571" s="182"/>
      <c r="I571" s="182"/>
      <c r="J571" s="182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</row>
    <row r="572">
      <c r="A572" s="182"/>
      <c r="B572" s="182"/>
      <c r="C572" s="182"/>
      <c r="D572" s="182"/>
      <c r="E572" s="182"/>
      <c r="F572" s="182"/>
      <c r="G572" s="263"/>
      <c r="H572" s="182"/>
      <c r="I572" s="182"/>
      <c r="J572" s="182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</row>
    <row r="573">
      <c r="A573" s="182"/>
      <c r="B573" s="182"/>
      <c r="C573" s="182"/>
      <c r="D573" s="182"/>
      <c r="E573" s="182"/>
      <c r="F573" s="182"/>
      <c r="G573" s="263"/>
      <c r="H573" s="182"/>
      <c r="I573" s="182"/>
      <c r="J573" s="182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</row>
    <row r="574">
      <c r="A574" s="182"/>
      <c r="B574" s="182"/>
      <c r="C574" s="182"/>
      <c r="D574" s="182"/>
      <c r="E574" s="182"/>
      <c r="F574" s="182"/>
      <c r="G574" s="263"/>
      <c r="H574" s="182"/>
      <c r="I574" s="182"/>
      <c r="J574" s="182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</row>
    <row r="575">
      <c r="A575" s="182"/>
      <c r="B575" s="182"/>
      <c r="C575" s="182"/>
      <c r="D575" s="182"/>
      <c r="E575" s="182"/>
      <c r="F575" s="182"/>
      <c r="G575" s="263"/>
      <c r="H575" s="182"/>
      <c r="I575" s="182"/>
      <c r="J575" s="182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</row>
    <row r="576">
      <c r="A576" s="182"/>
      <c r="B576" s="182"/>
      <c r="C576" s="182"/>
      <c r="D576" s="182"/>
      <c r="E576" s="182"/>
      <c r="F576" s="182"/>
      <c r="G576" s="263"/>
      <c r="H576" s="182"/>
      <c r="I576" s="182"/>
      <c r="J576" s="182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</row>
    <row r="577">
      <c r="A577" s="182"/>
      <c r="B577" s="182"/>
      <c r="C577" s="182"/>
      <c r="D577" s="182"/>
      <c r="E577" s="182"/>
      <c r="F577" s="182"/>
      <c r="G577" s="263"/>
      <c r="H577" s="182"/>
      <c r="I577" s="182"/>
      <c r="J577" s="182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</row>
    <row r="578">
      <c r="A578" s="182"/>
      <c r="B578" s="182"/>
      <c r="C578" s="182"/>
      <c r="D578" s="182"/>
      <c r="E578" s="182"/>
      <c r="F578" s="182"/>
      <c r="G578" s="263"/>
      <c r="H578" s="182"/>
      <c r="I578" s="182"/>
      <c r="J578" s="182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</row>
    <row r="579">
      <c r="A579" s="182"/>
      <c r="B579" s="182"/>
      <c r="C579" s="182"/>
      <c r="D579" s="182"/>
      <c r="E579" s="182"/>
      <c r="F579" s="182"/>
      <c r="G579" s="263"/>
      <c r="H579" s="182"/>
      <c r="I579" s="182"/>
      <c r="J579" s="182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</row>
    <row r="580">
      <c r="A580" s="182"/>
      <c r="B580" s="182"/>
      <c r="C580" s="182"/>
      <c r="D580" s="182"/>
      <c r="E580" s="182"/>
      <c r="F580" s="182"/>
      <c r="G580" s="263"/>
      <c r="H580" s="182"/>
      <c r="I580" s="182"/>
      <c r="J580" s="182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</row>
    <row r="581">
      <c r="A581" s="182"/>
      <c r="B581" s="182"/>
      <c r="C581" s="182"/>
      <c r="D581" s="182"/>
      <c r="E581" s="182"/>
      <c r="F581" s="182"/>
      <c r="G581" s="263"/>
      <c r="H581" s="182"/>
      <c r="I581" s="182"/>
      <c r="J581" s="182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</row>
    <row r="582">
      <c r="A582" s="182"/>
      <c r="B582" s="182"/>
      <c r="C582" s="182"/>
      <c r="D582" s="182"/>
      <c r="E582" s="182"/>
      <c r="F582" s="182"/>
      <c r="G582" s="263"/>
      <c r="H582" s="182"/>
      <c r="I582" s="182"/>
      <c r="J582" s="182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</row>
    <row r="583">
      <c r="A583" s="182"/>
      <c r="B583" s="182"/>
      <c r="C583" s="182"/>
      <c r="D583" s="182"/>
      <c r="E583" s="182"/>
      <c r="F583" s="182"/>
      <c r="G583" s="263"/>
      <c r="H583" s="182"/>
      <c r="I583" s="182"/>
      <c r="J583" s="182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</row>
    <row r="584">
      <c r="A584" s="182"/>
      <c r="B584" s="182"/>
      <c r="C584" s="182"/>
      <c r="D584" s="182"/>
      <c r="E584" s="182"/>
      <c r="F584" s="182"/>
      <c r="G584" s="263"/>
      <c r="H584" s="182"/>
      <c r="I584" s="182"/>
      <c r="J584" s="182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</row>
    <row r="585">
      <c r="A585" s="182"/>
      <c r="B585" s="182"/>
      <c r="C585" s="182"/>
      <c r="D585" s="182"/>
      <c r="E585" s="182"/>
      <c r="F585" s="182"/>
      <c r="G585" s="263"/>
      <c r="H585" s="182"/>
      <c r="I585" s="182"/>
      <c r="J585" s="182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</row>
    <row r="586">
      <c r="A586" s="182"/>
      <c r="B586" s="182"/>
      <c r="C586" s="182"/>
      <c r="D586" s="182"/>
      <c r="E586" s="182"/>
      <c r="F586" s="182"/>
      <c r="G586" s="263"/>
      <c r="H586" s="182"/>
      <c r="I586" s="182"/>
      <c r="J586" s="182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</row>
    <row r="587">
      <c r="A587" s="182"/>
      <c r="B587" s="182"/>
      <c r="C587" s="182"/>
      <c r="D587" s="182"/>
      <c r="E587" s="182"/>
      <c r="F587" s="182"/>
      <c r="G587" s="263"/>
      <c r="H587" s="182"/>
      <c r="I587" s="182"/>
      <c r="J587" s="182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</row>
    <row r="588">
      <c r="A588" s="182"/>
      <c r="B588" s="182"/>
      <c r="C588" s="182"/>
      <c r="D588" s="182"/>
      <c r="E588" s="182"/>
      <c r="F588" s="182"/>
      <c r="G588" s="263"/>
      <c r="H588" s="182"/>
      <c r="I588" s="182"/>
      <c r="J588" s="182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</row>
    <row r="589">
      <c r="A589" s="182"/>
      <c r="B589" s="182"/>
      <c r="C589" s="182"/>
      <c r="D589" s="182"/>
      <c r="E589" s="182"/>
      <c r="F589" s="182"/>
      <c r="G589" s="263"/>
      <c r="H589" s="182"/>
      <c r="I589" s="182"/>
      <c r="J589" s="182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</row>
    <row r="590">
      <c r="A590" s="182"/>
      <c r="B590" s="182"/>
      <c r="C590" s="182"/>
      <c r="D590" s="182"/>
      <c r="E590" s="182"/>
      <c r="F590" s="182"/>
      <c r="G590" s="263"/>
      <c r="H590" s="182"/>
      <c r="I590" s="182"/>
      <c r="J590" s="182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</row>
    <row r="591">
      <c r="A591" s="182"/>
      <c r="B591" s="182"/>
      <c r="C591" s="182"/>
      <c r="D591" s="182"/>
      <c r="E591" s="182"/>
      <c r="F591" s="182"/>
      <c r="G591" s="263"/>
      <c r="H591" s="182"/>
      <c r="I591" s="182"/>
      <c r="J591" s="182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</row>
    <row r="592">
      <c r="A592" s="182"/>
      <c r="B592" s="182"/>
      <c r="C592" s="182"/>
      <c r="D592" s="182"/>
      <c r="E592" s="182"/>
      <c r="F592" s="182"/>
      <c r="G592" s="263"/>
      <c r="H592" s="182"/>
      <c r="I592" s="182"/>
      <c r="J592" s="182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</row>
    <row r="593">
      <c r="A593" s="182"/>
      <c r="B593" s="182"/>
      <c r="C593" s="182"/>
      <c r="D593" s="182"/>
      <c r="E593" s="182"/>
      <c r="F593" s="182"/>
      <c r="G593" s="263"/>
      <c r="H593" s="182"/>
      <c r="I593" s="182"/>
      <c r="J593" s="182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</row>
    <row r="594">
      <c r="A594" s="182"/>
      <c r="B594" s="182"/>
      <c r="C594" s="182"/>
      <c r="D594" s="182"/>
      <c r="E594" s="182"/>
      <c r="F594" s="182"/>
      <c r="G594" s="263"/>
      <c r="H594" s="182"/>
      <c r="I594" s="182"/>
      <c r="J594" s="182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</row>
    <row r="595">
      <c r="A595" s="182"/>
      <c r="B595" s="182"/>
      <c r="C595" s="182"/>
      <c r="D595" s="182"/>
      <c r="E595" s="182"/>
      <c r="F595" s="182"/>
      <c r="G595" s="263"/>
      <c r="H595" s="182"/>
      <c r="I595" s="182"/>
      <c r="J595" s="182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</row>
    <row r="596">
      <c r="A596" s="182"/>
      <c r="B596" s="182"/>
      <c r="C596" s="182"/>
      <c r="D596" s="182"/>
      <c r="E596" s="182"/>
      <c r="F596" s="182"/>
      <c r="G596" s="263"/>
      <c r="H596" s="182"/>
      <c r="I596" s="182"/>
      <c r="J596" s="182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</row>
    <row r="597">
      <c r="A597" s="182"/>
      <c r="B597" s="182"/>
      <c r="C597" s="182"/>
      <c r="D597" s="182"/>
      <c r="E597" s="182"/>
      <c r="F597" s="182"/>
      <c r="G597" s="263"/>
      <c r="H597" s="182"/>
      <c r="I597" s="182"/>
      <c r="J597" s="182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</row>
    <row r="598">
      <c r="A598" s="182"/>
      <c r="B598" s="182"/>
      <c r="C598" s="182"/>
      <c r="D598" s="182"/>
      <c r="E598" s="182"/>
      <c r="F598" s="182"/>
      <c r="G598" s="263"/>
      <c r="H598" s="182"/>
      <c r="I598" s="182"/>
      <c r="J598" s="182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</row>
    <row r="599">
      <c r="A599" s="182"/>
      <c r="B599" s="182"/>
      <c r="C599" s="182"/>
      <c r="D599" s="182"/>
      <c r="E599" s="182"/>
      <c r="F599" s="182"/>
      <c r="G599" s="263"/>
      <c r="H599" s="182"/>
      <c r="I599" s="182"/>
      <c r="J599" s="182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</row>
    <row r="600">
      <c r="A600" s="182"/>
      <c r="B600" s="182"/>
      <c r="C600" s="182"/>
      <c r="D600" s="182"/>
      <c r="E600" s="182"/>
      <c r="F600" s="182"/>
      <c r="G600" s="263"/>
      <c r="H600" s="182"/>
      <c r="I600" s="182"/>
      <c r="J600" s="182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</row>
    <row r="601">
      <c r="A601" s="182"/>
      <c r="B601" s="182"/>
      <c r="C601" s="182"/>
      <c r="D601" s="182"/>
      <c r="E601" s="182"/>
      <c r="F601" s="182"/>
      <c r="G601" s="263"/>
      <c r="H601" s="182"/>
      <c r="I601" s="182"/>
      <c r="J601" s="182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</row>
    <row r="602">
      <c r="A602" s="182"/>
      <c r="B602" s="182"/>
      <c r="C602" s="182"/>
      <c r="D602" s="182"/>
      <c r="E602" s="182"/>
      <c r="F602" s="182"/>
      <c r="G602" s="263"/>
      <c r="H602" s="182"/>
      <c r="I602" s="182"/>
      <c r="J602" s="182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</row>
    <row r="603">
      <c r="A603" s="182"/>
      <c r="B603" s="182"/>
      <c r="C603" s="182"/>
      <c r="D603" s="182"/>
      <c r="E603" s="182"/>
      <c r="F603" s="182"/>
      <c r="G603" s="263"/>
      <c r="H603" s="182"/>
      <c r="I603" s="182"/>
      <c r="J603" s="182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</row>
    <row r="604">
      <c r="A604" s="182"/>
      <c r="B604" s="182"/>
      <c r="C604" s="182"/>
      <c r="D604" s="182"/>
      <c r="E604" s="182"/>
      <c r="F604" s="182"/>
      <c r="G604" s="263"/>
      <c r="H604" s="182"/>
      <c r="I604" s="182"/>
      <c r="J604" s="182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</row>
    <row r="605">
      <c r="A605" s="182"/>
      <c r="B605" s="182"/>
      <c r="C605" s="182"/>
      <c r="D605" s="182"/>
      <c r="E605" s="182"/>
      <c r="F605" s="182"/>
      <c r="G605" s="263"/>
      <c r="H605" s="182"/>
      <c r="I605" s="182"/>
      <c r="J605" s="182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</row>
    <row r="606">
      <c r="A606" s="182"/>
      <c r="B606" s="182"/>
      <c r="C606" s="182"/>
      <c r="D606" s="182"/>
      <c r="E606" s="182"/>
      <c r="F606" s="182"/>
      <c r="G606" s="263"/>
      <c r="H606" s="182"/>
      <c r="I606" s="182"/>
      <c r="J606" s="182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</row>
    <row r="607">
      <c r="A607" s="182"/>
      <c r="B607" s="182"/>
      <c r="C607" s="182"/>
      <c r="D607" s="182"/>
      <c r="E607" s="182"/>
      <c r="F607" s="182"/>
      <c r="G607" s="263"/>
      <c r="H607" s="182"/>
      <c r="I607" s="182"/>
      <c r="J607" s="182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</row>
    <row r="608">
      <c r="A608" s="182"/>
      <c r="B608" s="182"/>
      <c r="C608" s="182"/>
      <c r="D608" s="182"/>
      <c r="E608" s="182"/>
      <c r="F608" s="182"/>
      <c r="G608" s="263"/>
      <c r="H608" s="182"/>
      <c r="I608" s="182"/>
      <c r="J608" s="182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</row>
    <row r="609">
      <c r="A609" s="182"/>
      <c r="B609" s="182"/>
      <c r="C609" s="182"/>
      <c r="D609" s="182"/>
      <c r="E609" s="182"/>
      <c r="F609" s="182"/>
      <c r="G609" s="263"/>
      <c r="H609" s="182"/>
      <c r="I609" s="182"/>
      <c r="J609" s="182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</row>
    <row r="610">
      <c r="A610" s="182"/>
      <c r="B610" s="182"/>
      <c r="C610" s="182"/>
      <c r="D610" s="182"/>
      <c r="E610" s="182"/>
      <c r="F610" s="182"/>
      <c r="G610" s="263"/>
      <c r="H610" s="182"/>
      <c r="I610" s="182"/>
      <c r="J610" s="182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</row>
    <row r="611">
      <c r="A611" s="182"/>
      <c r="B611" s="182"/>
      <c r="C611" s="182"/>
      <c r="D611" s="182"/>
      <c r="E611" s="182"/>
      <c r="F611" s="182"/>
      <c r="G611" s="263"/>
      <c r="H611" s="182"/>
      <c r="I611" s="182"/>
      <c r="J611" s="182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</row>
    <row r="612">
      <c r="A612" s="182"/>
      <c r="B612" s="182"/>
      <c r="C612" s="182"/>
      <c r="D612" s="182"/>
      <c r="E612" s="182"/>
      <c r="F612" s="182"/>
      <c r="G612" s="263"/>
      <c r="H612" s="182"/>
      <c r="I612" s="182"/>
      <c r="J612" s="182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</row>
    <row r="613">
      <c r="A613" s="182"/>
      <c r="B613" s="182"/>
      <c r="C613" s="182"/>
      <c r="D613" s="182"/>
      <c r="E613" s="182"/>
      <c r="F613" s="182"/>
      <c r="G613" s="263"/>
      <c r="H613" s="182"/>
      <c r="I613" s="182"/>
      <c r="J613" s="182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</row>
    <row r="614">
      <c r="A614" s="182"/>
      <c r="B614" s="182"/>
      <c r="C614" s="182"/>
      <c r="D614" s="182"/>
      <c r="E614" s="182"/>
      <c r="F614" s="182"/>
      <c r="G614" s="263"/>
      <c r="H614" s="182"/>
      <c r="I614" s="182"/>
      <c r="J614" s="182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</row>
    <row r="615">
      <c r="A615" s="182"/>
      <c r="B615" s="182"/>
      <c r="C615" s="182"/>
      <c r="D615" s="182"/>
      <c r="E615" s="182"/>
      <c r="F615" s="182"/>
      <c r="G615" s="263"/>
      <c r="H615" s="182"/>
      <c r="I615" s="182"/>
      <c r="J615" s="182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</row>
    <row r="616">
      <c r="A616" s="182"/>
      <c r="B616" s="182"/>
      <c r="C616" s="182"/>
      <c r="D616" s="182"/>
      <c r="E616" s="182"/>
      <c r="F616" s="182"/>
      <c r="G616" s="263"/>
      <c r="H616" s="182"/>
      <c r="I616" s="182"/>
      <c r="J616" s="182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</row>
    <row r="617">
      <c r="A617" s="182"/>
      <c r="B617" s="182"/>
      <c r="C617" s="182"/>
      <c r="D617" s="182"/>
      <c r="E617" s="182"/>
      <c r="F617" s="182"/>
      <c r="G617" s="263"/>
      <c r="H617" s="182"/>
      <c r="I617" s="182"/>
      <c r="J617" s="182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</row>
    <row r="618">
      <c r="A618" s="182"/>
      <c r="B618" s="182"/>
      <c r="C618" s="182"/>
      <c r="D618" s="182"/>
      <c r="E618" s="182"/>
      <c r="F618" s="182"/>
      <c r="G618" s="263"/>
      <c r="H618" s="182"/>
      <c r="I618" s="182"/>
      <c r="J618" s="182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</row>
    <row r="619">
      <c r="A619" s="182"/>
      <c r="B619" s="182"/>
      <c r="C619" s="182"/>
      <c r="D619" s="182"/>
      <c r="E619" s="182"/>
      <c r="F619" s="182"/>
      <c r="G619" s="263"/>
      <c r="H619" s="182"/>
      <c r="I619" s="182"/>
      <c r="J619" s="182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</row>
    <row r="620">
      <c r="A620" s="182"/>
      <c r="B620" s="182"/>
      <c r="C620" s="182"/>
      <c r="D620" s="182"/>
      <c r="E620" s="182"/>
      <c r="F620" s="182"/>
      <c r="G620" s="263"/>
      <c r="H620" s="182"/>
      <c r="I620" s="182"/>
      <c r="J620" s="182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</row>
    <row r="621">
      <c r="A621" s="182"/>
      <c r="B621" s="182"/>
      <c r="C621" s="182"/>
      <c r="D621" s="182"/>
      <c r="E621" s="182"/>
      <c r="F621" s="182"/>
      <c r="G621" s="263"/>
      <c r="H621" s="182"/>
      <c r="I621" s="182"/>
      <c r="J621" s="182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</row>
    <row r="622">
      <c r="A622" s="182"/>
      <c r="B622" s="182"/>
      <c r="C622" s="182"/>
      <c r="D622" s="182"/>
      <c r="E622" s="182"/>
      <c r="F622" s="182"/>
      <c r="G622" s="263"/>
      <c r="H622" s="182"/>
      <c r="I622" s="182"/>
      <c r="J622" s="182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</row>
    <row r="623">
      <c r="A623" s="182"/>
      <c r="B623" s="182"/>
      <c r="C623" s="182"/>
      <c r="D623" s="182"/>
      <c r="E623" s="182"/>
      <c r="F623" s="182"/>
      <c r="G623" s="263"/>
      <c r="H623" s="182"/>
      <c r="I623" s="182"/>
      <c r="J623" s="182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</row>
    <row r="624">
      <c r="A624" s="182"/>
      <c r="B624" s="182"/>
      <c r="C624" s="182"/>
      <c r="D624" s="182"/>
      <c r="E624" s="182"/>
      <c r="F624" s="182"/>
      <c r="G624" s="263"/>
      <c r="H624" s="182"/>
      <c r="I624" s="182"/>
      <c r="J624" s="182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</row>
    <row r="625">
      <c r="A625" s="182"/>
      <c r="B625" s="182"/>
      <c r="C625" s="182"/>
      <c r="D625" s="182"/>
      <c r="E625" s="182"/>
      <c r="F625" s="182"/>
      <c r="G625" s="263"/>
      <c r="H625" s="182"/>
      <c r="I625" s="182"/>
      <c r="J625" s="182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</row>
    <row r="626">
      <c r="A626" s="182"/>
      <c r="B626" s="182"/>
      <c r="C626" s="182"/>
      <c r="D626" s="182"/>
      <c r="E626" s="182"/>
      <c r="F626" s="182"/>
      <c r="G626" s="263"/>
      <c r="H626" s="182"/>
      <c r="I626" s="182"/>
      <c r="J626" s="182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</row>
    <row r="627">
      <c r="A627" s="182"/>
      <c r="B627" s="182"/>
      <c r="C627" s="182"/>
      <c r="D627" s="182"/>
      <c r="E627" s="182"/>
      <c r="F627" s="182"/>
      <c r="G627" s="263"/>
      <c r="H627" s="182"/>
      <c r="I627" s="182"/>
      <c r="J627" s="182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</row>
    <row r="628">
      <c r="A628" s="182"/>
      <c r="B628" s="182"/>
      <c r="C628" s="182"/>
      <c r="D628" s="182"/>
      <c r="E628" s="182"/>
      <c r="F628" s="182"/>
      <c r="G628" s="263"/>
      <c r="H628" s="182"/>
      <c r="I628" s="182"/>
      <c r="J628" s="182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</row>
    <row r="629">
      <c r="A629" s="182"/>
      <c r="B629" s="182"/>
      <c r="C629" s="182"/>
      <c r="D629" s="182"/>
      <c r="E629" s="182"/>
      <c r="F629" s="182"/>
      <c r="G629" s="263"/>
      <c r="H629" s="182"/>
      <c r="I629" s="182"/>
      <c r="J629" s="182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</row>
    <row r="630">
      <c r="A630" s="182"/>
      <c r="B630" s="182"/>
      <c r="C630" s="182"/>
      <c r="D630" s="182"/>
      <c r="E630" s="182"/>
      <c r="F630" s="182"/>
      <c r="G630" s="263"/>
      <c r="H630" s="182"/>
      <c r="I630" s="182"/>
      <c r="J630" s="182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</row>
    <row r="631">
      <c r="A631" s="182"/>
      <c r="B631" s="182"/>
      <c r="C631" s="182"/>
      <c r="D631" s="182"/>
      <c r="E631" s="182"/>
      <c r="F631" s="182"/>
      <c r="G631" s="263"/>
      <c r="H631" s="182"/>
      <c r="I631" s="182"/>
      <c r="J631" s="182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</row>
    <row r="632">
      <c r="A632" s="182"/>
      <c r="B632" s="182"/>
      <c r="C632" s="182"/>
      <c r="D632" s="182"/>
      <c r="E632" s="182"/>
      <c r="F632" s="182"/>
      <c r="G632" s="263"/>
      <c r="H632" s="182"/>
      <c r="I632" s="182"/>
      <c r="J632" s="182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</row>
    <row r="633">
      <c r="A633" s="182"/>
      <c r="B633" s="182"/>
      <c r="C633" s="182"/>
      <c r="D633" s="182"/>
      <c r="E633" s="182"/>
      <c r="F633" s="182"/>
      <c r="G633" s="263"/>
      <c r="H633" s="182"/>
      <c r="I633" s="182"/>
      <c r="J633" s="182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</row>
    <row r="634">
      <c r="A634" s="182"/>
      <c r="B634" s="182"/>
      <c r="C634" s="182"/>
      <c r="D634" s="182"/>
      <c r="E634" s="182"/>
      <c r="F634" s="182"/>
      <c r="G634" s="263"/>
      <c r="H634" s="182"/>
      <c r="I634" s="182"/>
      <c r="J634" s="182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</row>
    <row r="635">
      <c r="A635" s="182"/>
      <c r="B635" s="182"/>
      <c r="C635" s="182"/>
      <c r="D635" s="182"/>
      <c r="E635" s="182"/>
      <c r="F635" s="182"/>
      <c r="G635" s="263"/>
      <c r="H635" s="182"/>
      <c r="I635" s="182"/>
      <c r="J635" s="182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</row>
    <row r="636">
      <c r="A636" s="182"/>
      <c r="B636" s="182"/>
      <c r="C636" s="182"/>
      <c r="D636" s="182"/>
      <c r="E636" s="182"/>
      <c r="F636" s="182"/>
      <c r="G636" s="263"/>
      <c r="H636" s="182"/>
      <c r="I636" s="182"/>
      <c r="J636" s="182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</row>
    <row r="637">
      <c r="A637" s="182"/>
      <c r="B637" s="182"/>
      <c r="C637" s="182"/>
      <c r="D637" s="182"/>
      <c r="E637" s="182"/>
      <c r="F637" s="182"/>
      <c r="G637" s="263"/>
      <c r="H637" s="182"/>
      <c r="I637" s="182"/>
      <c r="J637" s="182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</row>
    <row r="638">
      <c r="A638" s="182"/>
      <c r="B638" s="182"/>
      <c r="C638" s="182"/>
      <c r="D638" s="182"/>
      <c r="E638" s="182"/>
      <c r="F638" s="182"/>
      <c r="G638" s="263"/>
      <c r="H638" s="182"/>
      <c r="I638" s="182"/>
      <c r="J638" s="182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</row>
    <row r="639">
      <c r="A639" s="182"/>
      <c r="B639" s="182"/>
      <c r="C639" s="182"/>
      <c r="D639" s="182"/>
      <c r="E639" s="182"/>
      <c r="F639" s="182"/>
      <c r="G639" s="263"/>
      <c r="H639" s="182"/>
      <c r="I639" s="182"/>
      <c r="J639" s="182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</row>
    <row r="640">
      <c r="A640" s="182"/>
      <c r="B640" s="182"/>
      <c r="C640" s="182"/>
      <c r="D640" s="182"/>
      <c r="E640" s="182"/>
      <c r="F640" s="182"/>
      <c r="G640" s="263"/>
      <c r="H640" s="182"/>
      <c r="I640" s="182"/>
      <c r="J640" s="182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</row>
    <row r="641">
      <c r="A641" s="182"/>
      <c r="B641" s="182"/>
      <c r="C641" s="182"/>
      <c r="D641" s="182"/>
      <c r="E641" s="182"/>
      <c r="F641" s="182"/>
      <c r="G641" s="263"/>
      <c r="H641" s="182"/>
      <c r="I641" s="182"/>
      <c r="J641" s="182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</row>
    <row r="642">
      <c r="A642" s="182"/>
      <c r="B642" s="182"/>
      <c r="C642" s="182"/>
      <c r="D642" s="182"/>
      <c r="E642" s="182"/>
      <c r="F642" s="182"/>
      <c r="G642" s="263"/>
      <c r="H642" s="182"/>
      <c r="I642" s="182"/>
      <c r="J642" s="182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</row>
    <row r="643">
      <c r="A643" s="182"/>
      <c r="B643" s="182"/>
      <c r="C643" s="182"/>
      <c r="D643" s="182"/>
      <c r="E643" s="182"/>
      <c r="F643" s="182"/>
      <c r="G643" s="263"/>
      <c r="H643" s="182"/>
      <c r="I643" s="182"/>
      <c r="J643" s="182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</row>
    <row r="644">
      <c r="A644" s="182"/>
      <c r="B644" s="182"/>
      <c r="C644" s="182"/>
      <c r="D644" s="182"/>
      <c r="E644" s="182"/>
      <c r="F644" s="182"/>
      <c r="G644" s="263"/>
      <c r="H644" s="182"/>
      <c r="I644" s="182"/>
      <c r="J644" s="182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</row>
    <row r="645">
      <c r="A645" s="182"/>
      <c r="B645" s="182"/>
      <c r="C645" s="182"/>
      <c r="D645" s="182"/>
      <c r="E645" s="182"/>
      <c r="F645" s="182"/>
      <c r="G645" s="263"/>
      <c r="H645" s="182"/>
      <c r="I645" s="182"/>
      <c r="J645" s="182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</row>
    <row r="646">
      <c r="A646" s="182"/>
      <c r="B646" s="182"/>
      <c r="C646" s="182"/>
      <c r="D646" s="182"/>
      <c r="E646" s="182"/>
      <c r="F646" s="182"/>
      <c r="G646" s="263"/>
      <c r="H646" s="182"/>
      <c r="I646" s="182"/>
      <c r="J646" s="182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</row>
    <row r="647">
      <c r="A647" s="182"/>
      <c r="B647" s="182"/>
      <c r="C647" s="182"/>
      <c r="D647" s="182"/>
      <c r="E647" s="182"/>
      <c r="F647" s="182"/>
      <c r="G647" s="263"/>
      <c r="H647" s="182"/>
      <c r="I647" s="182"/>
      <c r="J647" s="182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</row>
    <row r="648">
      <c r="A648" s="182"/>
      <c r="B648" s="182"/>
      <c r="C648" s="182"/>
      <c r="D648" s="182"/>
      <c r="E648" s="182"/>
      <c r="F648" s="182"/>
      <c r="G648" s="263"/>
      <c r="H648" s="182"/>
      <c r="I648" s="182"/>
      <c r="J648" s="182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</row>
    <row r="649">
      <c r="A649" s="182"/>
      <c r="B649" s="182"/>
      <c r="C649" s="182"/>
      <c r="D649" s="182"/>
      <c r="E649" s="182"/>
      <c r="F649" s="182"/>
      <c r="G649" s="263"/>
      <c r="H649" s="182"/>
      <c r="I649" s="182"/>
      <c r="J649" s="182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</row>
    <row r="650">
      <c r="A650" s="182"/>
      <c r="B650" s="182"/>
      <c r="C650" s="182"/>
      <c r="D650" s="182"/>
      <c r="E650" s="182"/>
      <c r="F650" s="182"/>
      <c r="G650" s="263"/>
      <c r="H650" s="182"/>
      <c r="I650" s="182"/>
      <c r="J650" s="182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</row>
    <row r="651">
      <c r="A651" s="182"/>
      <c r="B651" s="182"/>
      <c r="C651" s="182"/>
      <c r="D651" s="182"/>
      <c r="E651" s="182"/>
      <c r="F651" s="182"/>
      <c r="G651" s="263"/>
      <c r="H651" s="182"/>
      <c r="I651" s="182"/>
      <c r="J651" s="182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</row>
    <row r="652">
      <c r="A652" s="182"/>
      <c r="B652" s="182"/>
      <c r="C652" s="182"/>
      <c r="D652" s="182"/>
      <c r="E652" s="182"/>
      <c r="F652" s="182"/>
      <c r="G652" s="263"/>
      <c r="H652" s="182"/>
      <c r="I652" s="182"/>
      <c r="J652" s="182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</row>
    <row r="653">
      <c r="A653" s="182"/>
      <c r="B653" s="182"/>
      <c r="C653" s="182"/>
      <c r="D653" s="182"/>
      <c r="E653" s="182"/>
      <c r="F653" s="182"/>
      <c r="G653" s="263"/>
      <c r="H653" s="182"/>
      <c r="I653" s="182"/>
      <c r="J653" s="182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</row>
    <row r="654">
      <c r="A654" s="182"/>
      <c r="B654" s="182"/>
      <c r="C654" s="182"/>
      <c r="D654" s="182"/>
      <c r="E654" s="182"/>
      <c r="F654" s="182"/>
      <c r="G654" s="263"/>
      <c r="H654" s="182"/>
      <c r="I654" s="182"/>
      <c r="J654" s="182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</row>
    <row r="655">
      <c r="A655" s="182"/>
      <c r="B655" s="182"/>
      <c r="C655" s="182"/>
      <c r="D655" s="182"/>
      <c r="E655" s="182"/>
      <c r="F655" s="182"/>
      <c r="G655" s="263"/>
      <c r="H655" s="182"/>
      <c r="I655" s="182"/>
      <c r="J655" s="182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</row>
    <row r="656">
      <c r="A656" s="182"/>
      <c r="B656" s="182"/>
      <c r="C656" s="182"/>
      <c r="D656" s="182"/>
      <c r="E656" s="182"/>
      <c r="F656" s="182"/>
      <c r="G656" s="263"/>
      <c r="H656" s="182"/>
      <c r="I656" s="182"/>
      <c r="J656" s="182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</row>
    <row r="657">
      <c r="A657" s="182"/>
      <c r="B657" s="182"/>
      <c r="C657" s="182"/>
      <c r="D657" s="182"/>
      <c r="E657" s="182"/>
      <c r="F657" s="182"/>
      <c r="G657" s="263"/>
      <c r="H657" s="182"/>
      <c r="I657" s="182"/>
      <c r="J657" s="182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</row>
    <row r="658">
      <c r="A658" s="182"/>
      <c r="B658" s="182"/>
      <c r="C658" s="182"/>
      <c r="D658" s="182"/>
      <c r="E658" s="182"/>
      <c r="F658" s="182"/>
      <c r="G658" s="263"/>
      <c r="H658" s="182"/>
      <c r="I658" s="182"/>
      <c r="J658" s="182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</row>
    <row r="659">
      <c r="A659" s="182"/>
      <c r="B659" s="182"/>
      <c r="C659" s="182"/>
      <c r="D659" s="182"/>
      <c r="E659" s="182"/>
      <c r="F659" s="182"/>
      <c r="G659" s="263"/>
      <c r="H659" s="182"/>
      <c r="I659" s="182"/>
      <c r="J659" s="182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</row>
    <row r="660">
      <c r="A660" s="182"/>
      <c r="B660" s="182"/>
      <c r="C660" s="182"/>
      <c r="D660" s="182"/>
      <c r="E660" s="182"/>
      <c r="F660" s="182"/>
      <c r="G660" s="263"/>
      <c r="H660" s="182"/>
      <c r="I660" s="182"/>
      <c r="J660" s="182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</row>
    <row r="661">
      <c r="A661" s="182"/>
      <c r="B661" s="182"/>
      <c r="C661" s="182"/>
      <c r="D661" s="182"/>
      <c r="E661" s="182"/>
      <c r="F661" s="182"/>
      <c r="G661" s="263"/>
      <c r="H661" s="182"/>
      <c r="I661" s="182"/>
      <c r="J661" s="182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</row>
    <row r="662">
      <c r="A662" s="182"/>
      <c r="B662" s="182"/>
      <c r="C662" s="182"/>
      <c r="D662" s="182"/>
      <c r="E662" s="182"/>
      <c r="F662" s="182"/>
      <c r="G662" s="263"/>
      <c r="H662" s="182"/>
      <c r="I662" s="182"/>
      <c r="J662" s="182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</row>
    <row r="663">
      <c r="A663" s="182"/>
      <c r="B663" s="182"/>
      <c r="C663" s="182"/>
      <c r="D663" s="182"/>
      <c r="E663" s="182"/>
      <c r="F663" s="182"/>
      <c r="G663" s="263"/>
      <c r="H663" s="182"/>
      <c r="I663" s="182"/>
      <c r="J663" s="182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</row>
    <row r="664">
      <c r="A664" s="182"/>
      <c r="B664" s="182"/>
      <c r="C664" s="182"/>
      <c r="D664" s="182"/>
      <c r="E664" s="182"/>
      <c r="F664" s="182"/>
      <c r="G664" s="263"/>
      <c r="H664" s="182"/>
      <c r="I664" s="182"/>
      <c r="J664" s="182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</row>
    <row r="665">
      <c r="A665" s="182"/>
      <c r="B665" s="182"/>
      <c r="C665" s="182"/>
      <c r="D665" s="182"/>
      <c r="E665" s="182"/>
      <c r="F665" s="182"/>
      <c r="G665" s="263"/>
      <c r="H665" s="182"/>
      <c r="I665" s="182"/>
      <c r="J665" s="182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</row>
    <row r="666">
      <c r="A666" s="182"/>
      <c r="B666" s="182"/>
      <c r="C666" s="182"/>
      <c r="D666" s="182"/>
      <c r="E666" s="182"/>
      <c r="F666" s="182"/>
      <c r="G666" s="263"/>
      <c r="H666" s="182"/>
      <c r="I666" s="182"/>
      <c r="J666" s="182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</row>
    <row r="667">
      <c r="A667" s="182"/>
      <c r="B667" s="182"/>
      <c r="C667" s="182"/>
      <c r="D667" s="182"/>
      <c r="E667" s="182"/>
      <c r="F667" s="182"/>
      <c r="G667" s="263"/>
      <c r="H667" s="182"/>
      <c r="I667" s="182"/>
      <c r="J667" s="182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</row>
    <row r="668">
      <c r="A668" s="182"/>
      <c r="B668" s="182"/>
      <c r="C668" s="182"/>
      <c r="D668" s="182"/>
      <c r="E668" s="182"/>
      <c r="F668" s="182"/>
      <c r="G668" s="263"/>
      <c r="H668" s="182"/>
      <c r="I668" s="182"/>
      <c r="J668" s="182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</row>
    <row r="669">
      <c r="A669" s="182"/>
      <c r="B669" s="182"/>
      <c r="C669" s="182"/>
      <c r="D669" s="182"/>
      <c r="E669" s="182"/>
      <c r="F669" s="182"/>
      <c r="G669" s="263"/>
      <c r="H669" s="182"/>
      <c r="I669" s="182"/>
      <c r="J669" s="182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</row>
    <row r="670">
      <c r="A670" s="182"/>
      <c r="B670" s="182"/>
      <c r="C670" s="182"/>
      <c r="D670" s="182"/>
      <c r="E670" s="182"/>
      <c r="F670" s="182"/>
      <c r="G670" s="263"/>
      <c r="H670" s="182"/>
      <c r="I670" s="182"/>
      <c r="J670" s="182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</row>
    <row r="671">
      <c r="A671" s="182"/>
      <c r="B671" s="182"/>
      <c r="C671" s="182"/>
      <c r="D671" s="182"/>
      <c r="E671" s="182"/>
      <c r="F671" s="182"/>
      <c r="G671" s="263"/>
      <c r="H671" s="182"/>
      <c r="I671" s="182"/>
      <c r="J671" s="182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</row>
    <row r="672">
      <c r="A672" s="182"/>
      <c r="B672" s="182"/>
      <c r="C672" s="182"/>
      <c r="D672" s="182"/>
      <c r="E672" s="182"/>
      <c r="F672" s="182"/>
      <c r="G672" s="263"/>
      <c r="H672" s="182"/>
      <c r="I672" s="182"/>
      <c r="J672" s="182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</row>
    <row r="673">
      <c r="A673" s="182"/>
      <c r="B673" s="182"/>
      <c r="C673" s="182"/>
      <c r="D673" s="182"/>
      <c r="E673" s="182"/>
      <c r="F673" s="182"/>
      <c r="G673" s="263"/>
      <c r="H673" s="182"/>
      <c r="I673" s="182"/>
      <c r="J673" s="182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</row>
    <row r="674">
      <c r="A674" s="182"/>
      <c r="B674" s="182"/>
      <c r="C674" s="182"/>
      <c r="D674" s="182"/>
      <c r="E674" s="182"/>
      <c r="F674" s="182"/>
      <c r="G674" s="263"/>
      <c r="H674" s="182"/>
      <c r="I674" s="182"/>
      <c r="J674" s="182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</row>
    <row r="675">
      <c r="A675" s="182"/>
      <c r="B675" s="182"/>
      <c r="C675" s="182"/>
      <c r="D675" s="182"/>
      <c r="E675" s="182"/>
      <c r="F675" s="182"/>
      <c r="G675" s="263"/>
      <c r="H675" s="182"/>
      <c r="I675" s="182"/>
      <c r="J675" s="182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</row>
    <row r="676">
      <c r="A676" s="182"/>
      <c r="B676" s="182"/>
      <c r="C676" s="182"/>
      <c r="D676" s="182"/>
      <c r="E676" s="182"/>
      <c r="F676" s="182"/>
      <c r="G676" s="263"/>
      <c r="H676" s="182"/>
      <c r="I676" s="182"/>
      <c r="J676" s="182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</row>
    <row r="677">
      <c r="A677" s="182"/>
      <c r="B677" s="182"/>
      <c r="C677" s="182"/>
      <c r="D677" s="182"/>
      <c r="E677" s="182"/>
      <c r="F677" s="182"/>
      <c r="G677" s="263"/>
      <c r="H677" s="182"/>
      <c r="I677" s="182"/>
      <c r="J677" s="182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</row>
    <row r="678">
      <c r="A678" s="182"/>
      <c r="B678" s="182"/>
      <c r="C678" s="182"/>
      <c r="D678" s="182"/>
      <c r="E678" s="182"/>
      <c r="F678" s="182"/>
      <c r="G678" s="263"/>
      <c r="H678" s="182"/>
      <c r="I678" s="182"/>
      <c r="J678" s="182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</row>
    <row r="679">
      <c r="A679" s="182"/>
      <c r="B679" s="182"/>
      <c r="C679" s="182"/>
      <c r="D679" s="182"/>
      <c r="E679" s="182"/>
      <c r="F679" s="182"/>
      <c r="G679" s="263"/>
      <c r="H679" s="182"/>
      <c r="I679" s="182"/>
      <c r="J679" s="182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</row>
    <row r="680">
      <c r="A680" s="182"/>
      <c r="B680" s="182"/>
      <c r="C680" s="182"/>
      <c r="D680" s="182"/>
      <c r="E680" s="182"/>
      <c r="F680" s="182"/>
      <c r="G680" s="263"/>
      <c r="H680" s="182"/>
      <c r="I680" s="182"/>
      <c r="J680" s="182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</row>
    <row r="681">
      <c r="A681" s="182"/>
      <c r="B681" s="182"/>
      <c r="C681" s="182"/>
      <c r="D681" s="182"/>
      <c r="E681" s="182"/>
      <c r="F681" s="182"/>
      <c r="G681" s="263"/>
      <c r="H681" s="182"/>
      <c r="I681" s="182"/>
      <c r="J681" s="182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</row>
    <row r="682">
      <c r="A682" s="182"/>
      <c r="B682" s="182"/>
      <c r="C682" s="182"/>
      <c r="D682" s="182"/>
      <c r="E682" s="182"/>
      <c r="F682" s="182"/>
      <c r="G682" s="263"/>
      <c r="H682" s="182"/>
      <c r="I682" s="182"/>
      <c r="J682" s="182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</row>
    <row r="683">
      <c r="A683" s="182"/>
      <c r="B683" s="182"/>
      <c r="C683" s="182"/>
      <c r="D683" s="182"/>
      <c r="E683" s="182"/>
      <c r="F683" s="182"/>
      <c r="G683" s="263"/>
      <c r="H683" s="182"/>
      <c r="I683" s="182"/>
      <c r="J683" s="182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</row>
    <row r="684">
      <c r="A684" s="182"/>
      <c r="B684" s="182"/>
      <c r="C684" s="182"/>
      <c r="D684" s="182"/>
      <c r="E684" s="182"/>
      <c r="F684" s="182"/>
      <c r="G684" s="263"/>
      <c r="H684" s="182"/>
      <c r="I684" s="182"/>
      <c r="J684" s="182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</row>
    <row r="685">
      <c r="A685" s="182"/>
      <c r="B685" s="182"/>
      <c r="C685" s="182"/>
      <c r="D685" s="182"/>
      <c r="E685" s="182"/>
      <c r="F685" s="182"/>
      <c r="G685" s="263"/>
      <c r="H685" s="182"/>
      <c r="I685" s="182"/>
      <c r="J685" s="182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</row>
    <row r="686">
      <c r="A686" s="182"/>
      <c r="B686" s="182"/>
      <c r="C686" s="182"/>
      <c r="D686" s="182"/>
      <c r="E686" s="182"/>
      <c r="F686" s="182"/>
      <c r="G686" s="263"/>
      <c r="H686" s="182"/>
      <c r="I686" s="182"/>
      <c r="J686" s="182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</row>
    <row r="687">
      <c r="A687" s="182"/>
      <c r="B687" s="182"/>
      <c r="C687" s="182"/>
      <c r="D687" s="182"/>
      <c r="E687" s="182"/>
      <c r="F687" s="182"/>
      <c r="G687" s="263"/>
      <c r="H687" s="182"/>
      <c r="I687" s="182"/>
      <c r="J687" s="182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</row>
    <row r="688">
      <c r="A688" s="182"/>
      <c r="B688" s="182"/>
      <c r="C688" s="182"/>
      <c r="D688" s="182"/>
      <c r="E688" s="182"/>
      <c r="F688" s="182"/>
      <c r="G688" s="263"/>
      <c r="H688" s="182"/>
      <c r="I688" s="182"/>
      <c r="J688" s="182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</row>
    <row r="689">
      <c r="A689" s="182"/>
      <c r="B689" s="182"/>
      <c r="C689" s="182"/>
      <c r="D689" s="182"/>
      <c r="E689" s="182"/>
      <c r="F689" s="182"/>
      <c r="G689" s="263"/>
      <c r="H689" s="182"/>
      <c r="I689" s="182"/>
      <c r="J689" s="182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</row>
    <row r="690">
      <c r="A690" s="182"/>
      <c r="B690" s="182"/>
      <c r="C690" s="182"/>
      <c r="D690" s="182"/>
      <c r="E690" s="182"/>
      <c r="F690" s="182"/>
      <c r="G690" s="263"/>
      <c r="H690" s="182"/>
      <c r="I690" s="182"/>
      <c r="J690" s="182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</row>
    <row r="691">
      <c r="A691" s="182"/>
      <c r="B691" s="182"/>
      <c r="C691" s="182"/>
      <c r="D691" s="182"/>
      <c r="E691" s="182"/>
      <c r="F691" s="182"/>
      <c r="G691" s="263"/>
      <c r="H691" s="182"/>
      <c r="I691" s="182"/>
      <c r="J691" s="182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</row>
    <row r="692">
      <c r="A692" s="182"/>
      <c r="B692" s="182"/>
      <c r="C692" s="182"/>
      <c r="D692" s="182"/>
      <c r="E692" s="182"/>
      <c r="F692" s="182"/>
      <c r="G692" s="263"/>
      <c r="H692" s="182"/>
      <c r="I692" s="182"/>
      <c r="J692" s="182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</row>
    <row r="693">
      <c r="A693" s="182"/>
      <c r="B693" s="182"/>
      <c r="C693" s="182"/>
      <c r="D693" s="182"/>
      <c r="E693" s="182"/>
      <c r="F693" s="182"/>
      <c r="G693" s="263"/>
      <c r="H693" s="182"/>
      <c r="I693" s="182"/>
      <c r="J693" s="182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</row>
    <row r="694">
      <c r="A694" s="182"/>
      <c r="B694" s="182"/>
      <c r="C694" s="182"/>
      <c r="D694" s="182"/>
      <c r="E694" s="182"/>
      <c r="F694" s="182"/>
      <c r="G694" s="263"/>
      <c r="H694" s="182"/>
      <c r="I694" s="182"/>
      <c r="J694" s="182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</row>
    <row r="695">
      <c r="A695" s="182"/>
      <c r="B695" s="182"/>
      <c r="C695" s="182"/>
      <c r="D695" s="182"/>
      <c r="E695" s="182"/>
      <c r="F695" s="182"/>
      <c r="G695" s="263"/>
      <c r="H695" s="182"/>
      <c r="I695" s="182"/>
      <c r="J695" s="182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</row>
    <row r="696">
      <c r="A696" s="182"/>
      <c r="B696" s="182"/>
      <c r="C696" s="182"/>
      <c r="D696" s="182"/>
      <c r="E696" s="182"/>
      <c r="F696" s="182"/>
      <c r="G696" s="263"/>
      <c r="H696" s="182"/>
      <c r="I696" s="182"/>
      <c r="J696" s="182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</row>
    <row r="697">
      <c r="A697" s="182"/>
      <c r="B697" s="182"/>
      <c r="C697" s="182"/>
      <c r="D697" s="182"/>
      <c r="E697" s="182"/>
      <c r="F697" s="182"/>
      <c r="G697" s="263"/>
      <c r="H697" s="182"/>
      <c r="I697" s="182"/>
      <c r="J697" s="182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</row>
    <row r="698">
      <c r="A698" s="182"/>
      <c r="B698" s="182"/>
      <c r="C698" s="182"/>
      <c r="D698" s="182"/>
      <c r="E698" s="182"/>
      <c r="F698" s="182"/>
      <c r="G698" s="263"/>
      <c r="H698" s="182"/>
      <c r="I698" s="182"/>
      <c r="J698" s="182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</row>
    <row r="699">
      <c r="A699" s="182"/>
      <c r="B699" s="182"/>
      <c r="C699" s="182"/>
      <c r="D699" s="182"/>
      <c r="E699" s="182"/>
      <c r="F699" s="182"/>
      <c r="G699" s="263"/>
      <c r="H699" s="182"/>
      <c r="I699" s="182"/>
      <c r="J699" s="182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</row>
    <row r="700">
      <c r="A700" s="182"/>
      <c r="B700" s="182"/>
      <c r="C700" s="182"/>
      <c r="D700" s="182"/>
      <c r="E700" s="182"/>
      <c r="F700" s="182"/>
      <c r="G700" s="263"/>
      <c r="H700" s="182"/>
      <c r="I700" s="182"/>
      <c r="J700" s="182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</row>
    <row r="701">
      <c r="A701" s="182"/>
      <c r="B701" s="182"/>
      <c r="C701" s="182"/>
      <c r="D701" s="182"/>
      <c r="E701" s="182"/>
      <c r="F701" s="182"/>
      <c r="G701" s="263"/>
      <c r="H701" s="182"/>
      <c r="I701" s="182"/>
      <c r="J701" s="182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</row>
    <row r="702">
      <c r="A702" s="182"/>
      <c r="B702" s="182"/>
      <c r="C702" s="182"/>
      <c r="D702" s="182"/>
      <c r="E702" s="182"/>
      <c r="F702" s="182"/>
      <c r="G702" s="263"/>
      <c r="H702" s="182"/>
      <c r="I702" s="182"/>
      <c r="J702" s="182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</row>
    <row r="703">
      <c r="A703" s="182"/>
      <c r="B703" s="182"/>
      <c r="C703" s="182"/>
      <c r="D703" s="182"/>
      <c r="E703" s="182"/>
      <c r="F703" s="182"/>
      <c r="G703" s="263"/>
      <c r="H703" s="182"/>
      <c r="I703" s="182"/>
      <c r="J703" s="182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</row>
    <row r="704">
      <c r="A704" s="182"/>
      <c r="B704" s="182"/>
      <c r="C704" s="182"/>
      <c r="D704" s="182"/>
      <c r="E704" s="182"/>
      <c r="F704" s="182"/>
      <c r="G704" s="263"/>
      <c r="H704" s="182"/>
      <c r="I704" s="182"/>
      <c r="J704" s="182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</row>
    <row r="705">
      <c r="A705" s="182"/>
      <c r="B705" s="182"/>
      <c r="C705" s="182"/>
      <c r="D705" s="182"/>
      <c r="E705" s="182"/>
      <c r="F705" s="182"/>
      <c r="G705" s="263"/>
      <c r="H705" s="182"/>
      <c r="I705" s="182"/>
      <c r="J705" s="182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</row>
    <row r="706">
      <c r="A706" s="182"/>
      <c r="B706" s="182"/>
      <c r="C706" s="182"/>
      <c r="D706" s="182"/>
      <c r="E706" s="182"/>
      <c r="F706" s="182"/>
      <c r="G706" s="263"/>
      <c r="H706" s="182"/>
      <c r="I706" s="182"/>
      <c r="J706" s="182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</row>
    <row r="707">
      <c r="A707" s="182"/>
      <c r="B707" s="182"/>
      <c r="C707" s="182"/>
      <c r="D707" s="182"/>
      <c r="E707" s="182"/>
      <c r="F707" s="182"/>
      <c r="G707" s="263"/>
      <c r="H707" s="182"/>
      <c r="I707" s="182"/>
      <c r="J707" s="182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</row>
    <row r="708">
      <c r="A708" s="182"/>
      <c r="B708" s="182"/>
      <c r="C708" s="182"/>
      <c r="D708" s="182"/>
      <c r="E708" s="182"/>
      <c r="F708" s="182"/>
      <c r="G708" s="263"/>
      <c r="H708" s="182"/>
      <c r="I708" s="182"/>
      <c r="J708" s="182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</row>
    <row r="709">
      <c r="A709" s="182"/>
      <c r="B709" s="182"/>
      <c r="C709" s="182"/>
      <c r="D709" s="182"/>
      <c r="E709" s="182"/>
      <c r="F709" s="182"/>
      <c r="G709" s="263"/>
      <c r="H709" s="182"/>
      <c r="I709" s="182"/>
      <c r="J709" s="182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</row>
    <row r="710">
      <c r="A710" s="182"/>
      <c r="B710" s="182"/>
      <c r="C710" s="182"/>
      <c r="D710" s="182"/>
      <c r="E710" s="182"/>
      <c r="F710" s="182"/>
      <c r="G710" s="263"/>
      <c r="H710" s="182"/>
      <c r="I710" s="182"/>
      <c r="J710" s="182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</row>
    <row r="711">
      <c r="A711" s="182"/>
      <c r="B711" s="182"/>
      <c r="C711" s="182"/>
      <c r="D711" s="182"/>
      <c r="E711" s="182"/>
      <c r="F711" s="182"/>
      <c r="G711" s="263"/>
      <c r="H711" s="182"/>
      <c r="I711" s="182"/>
      <c r="J711" s="182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</row>
    <row r="712">
      <c r="A712" s="182"/>
      <c r="B712" s="182"/>
      <c r="C712" s="182"/>
      <c r="D712" s="182"/>
      <c r="E712" s="182"/>
      <c r="F712" s="182"/>
      <c r="G712" s="263"/>
      <c r="H712" s="182"/>
      <c r="I712" s="182"/>
      <c r="J712" s="182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</row>
    <row r="713">
      <c r="A713" s="182"/>
      <c r="B713" s="182"/>
      <c r="C713" s="182"/>
      <c r="D713" s="182"/>
      <c r="E713" s="182"/>
      <c r="F713" s="182"/>
      <c r="G713" s="263"/>
      <c r="H713" s="182"/>
      <c r="I713" s="182"/>
      <c r="J713" s="182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</row>
    <row r="714">
      <c r="A714" s="182"/>
      <c r="B714" s="182"/>
      <c r="C714" s="182"/>
      <c r="D714" s="182"/>
      <c r="E714" s="182"/>
      <c r="F714" s="182"/>
      <c r="G714" s="263"/>
      <c r="H714" s="182"/>
      <c r="I714" s="182"/>
      <c r="J714" s="182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</row>
    <row r="715">
      <c r="A715" s="182"/>
      <c r="B715" s="182"/>
      <c r="C715" s="182"/>
      <c r="D715" s="182"/>
      <c r="E715" s="182"/>
      <c r="F715" s="182"/>
      <c r="G715" s="263"/>
      <c r="H715" s="182"/>
      <c r="I715" s="182"/>
      <c r="J715" s="182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</row>
    <row r="716">
      <c r="A716" s="182"/>
      <c r="B716" s="182"/>
      <c r="C716" s="182"/>
      <c r="D716" s="182"/>
      <c r="E716" s="182"/>
      <c r="F716" s="182"/>
      <c r="G716" s="263"/>
      <c r="H716" s="182"/>
      <c r="I716" s="182"/>
      <c r="J716" s="182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</row>
    <row r="717">
      <c r="A717" s="182"/>
      <c r="B717" s="182"/>
      <c r="C717" s="182"/>
      <c r="D717" s="182"/>
      <c r="E717" s="182"/>
      <c r="F717" s="182"/>
      <c r="G717" s="263"/>
      <c r="H717" s="182"/>
      <c r="I717" s="182"/>
      <c r="J717" s="182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</row>
    <row r="718">
      <c r="A718" s="182"/>
      <c r="B718" s="182"/>
      <c r="C718" s="182"/>
      <c r="D718" s="182"/>
      <c r="E718" s="182"/>
      <c r="F718" s="182"/>
      <c r="G718" s="263"/>
      <c r="H718" s="182"/>
      <c r="I718" s="182"/>
      <c r="J718" s="182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</row>
    <row r="719">
      <c r="A719" s="182"/>
      <c r="B719" s="182"/>
      <c r="C719" s="182"/>
      <c r="D719" s="182"/>
      <c r="E719" s="182"/>
      <c r="F719" s="182"/>
      <c r="G719" s="263"/>
      <c r="H719" s="182"/>
      <c r="I719" s="182"/>
      <c r="J719" s="182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</row>
    <row r="720">
      <c r="A720" s="182"/>
      <c r="B720" s="182"/>
      <c r="C720" s="182"/>
      <c r="D720" s="182"/>
      <c r="E720" s="182"/>
      <c r="F720" s="182"/>
      <c r="G720" s="263"/>
      <c r="H720" s="182"/>
      <c r="I720" s="182"/>
      <c r="J720" s="182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</row>
    <row r="721">
      <c r="A721" s="182"/>
      <c r="B721" s="182"/>
      <c r="C721" s="182"/>
      <c r="D721" s="182"/>
      <c r="E721" s="182"/>
      <c r="F721" s="182"/>
      <c r="G721" s="263"/>
      <c r="H721" s="182"/>
      <c r="I721" s="182"/>
      <c r="J721" s="182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</row>
    <row r="722">
      <c r="A722" s="182"/>
      <c r="B722" s="182"/>
      <c r="C722" s="182"/>
      <c r="D722" s="182"/>
      <c r="E722" s="182"/>
      <c r="F722" s="182"/>
      <c r="G722" s="263"/>
      <c r="H722" s="182"/>
      <c r="I722" s="182"/>
      <c r="J722" s="182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</row>
    <row r="723">
      <c r="A723" s="182"/>
      <c r="B723" s="182"/>
      <c r="C723" s="182"/>
      <c r="D723" s="182"/>
      <c r="E723" s="182"/>
      <c r="F723" s="182"/>
      <c r="G723" s="263"/>
      <c r="H723" s="182"/>
      <c r="I723" s="182"/>
      <c r="J723" s="182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</row>
    <row r="724">
      <c r="A724" s="182"/>
      <c r="B724" s="182"/>
      <c r="C724" s="182"/>
      <c r="D724" s="182"/>
      <c r="E724" s="182"/>
      <c r="F724" s="182"/>
      <c r="G724" s="263"/>
      <c r="H724" s="182"/>
      <c r="I724" s="182"/>
      <c r="J724" s="182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</row>
    <row r="725">
      <c r="A725" s="182"/>
      <c r="B725" s="182"/>
      <c r="C725" s="182"/>
      <c r="D725" s="182"/>
      <c r="E725" s="182"/>
      <c r="F725" s="182"/>
      <c r="G725" s="263"/>
      <c r="H725" s="182"/>
      <c r="I725" s="182"/>
      <c r="J725" s="182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</row>
    <row r="726">
      <c r="A726" s="182"/>
      <c r="B726" s="182"/>
      <c r="C726" s="182"/>
      <c r="D726" s="182"/>
      <c r="E726" s="182"/>
      <c r="F726" s="182"/>
      <c r="G726" s="263"/>
      <c r="H726" s="182"/>
      <c r="I726" s="182"/>
      <c r="J726" s="182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</row>
    <row r="727">
      <c r="A727" s="182"/>
      <c r="B727" s="182"/>
      <c r="C727" s="182"/>
      <c r="D727" s="182"/>
      <c r="E727" s="182"/>
      <c r="F727" s="182"/>
      <c r="G727" s="263"/>
      <c r="H727" s="182"/>
      <c r="I727" s="182"/>
      <c r="J727" s="182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</row>
    <row r="728">
      <c r="A728" s="182"/>
      <c r="B728" s="182"/>
      <c r="C728" s="182"/>
      <c r="D728" s="182"/>
      <c r="E728" s="182"/>
      <c r="F728" s="182"/>
      <c r="G728" s="263"/>
      <c r="H728" s="182"/>
      <c r="I728" s="182"/>
      <c r="J728" s="182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</row>
    <row r="729">
      <c r="A729" s="182"/>
      <c r="B729" s="182"/>
      <c r="C729" s="182"/>
      <c r="D729" s="182"/>
      <c r="E729" s="182"/>
      <c r="F729" s="182"/>
      <c r="G729" s="263"/>
      <c r="H729" s="182"/>
      <c r="I729" s="182"/>
      <c r="J729" s="182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</row>
    <row r="730">
      <c r="A730" s="182"/>
      <c r="B730" s="182"/>
      <c r="C730" s="182"/>
      <c r="D730" s="182"/>
      <c r="E730" s="182"/>
      <c r="F730" s="182"/>
      <c r="G730" s="263"/>
      <c r="H730" s="182"/>
      <c r="I730" s="182"/>
      <c r="J730" s="182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</row>
    <row r="731">
      <c r="A731" s="182"/>
      <c r="B731" s="182"/>
      <c r="C731" s="182"/>
      <c r="D731" s="182"/>
      <c r="E731" s="182"/>
      <c r="F731" s="182"/>
      <c r="G731" s="263"/>
      <c r="H731" s="182"/>
      <c r="I731" s="182"/>
      <c r="J731" s="182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</row>
    <row r="732">
      <c r="A732" s="182"/>
      <c r="B732" s="182"/>
      <c r="C732" s="182"/>
      <c r="D732" s="182"/>
      <c r="E732" s="182"/>
      <c r="F732" s="182"/>
      <c r="G732" s="263"/>
      <c r="H732" s="182"/>
      <c r="I732" s="182"/>
      <c r="J732" s="182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</row>
    <row r="733">
      <c r="A733" s="182"/>
      <c r="B733" s="182"/>
      <c r="C733" s="182"/>
      <c r="D733" s="182"/>
      <c r="E733" s="182"/>
      <c r="F733" s="182"/>
      <c r="G733" s="263"/>
      <c r="H733" s="182"/>
      <c r="I733" s="182"/>
      <c r="J733" s="182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</row>
    <row r="734">
      <c r="A734" s="182"/>
      <c r="B734" s="182"/>
      <c r="C734" s="182"/>
      <c r="D734" s="182"/>
      <c r="E734" s="182"/>
      <c r="F734" s="182"/>
      <c r="G734" s="263"/>
      <c r="H734" s="182"/>
      <c r="I734" s="182"/>
      <c r="J734" s="182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</row>
    <row r="735">
      <c r="A735" s="182"/>
      <c r="B735" s="182"/>
      <c r="C735" s="182"/>
      <c r="D735" s="182"/>
      <c r="E735" s="182"/>
      <c r="F735" s="182"/>
      <c r="G735" s="263"/>
      <c r="H735" s="182"/>
      <c r="I735" s="182"/>
      <c r="J735" s="182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</row>
    <row r="736">
      <c r="A736" s="182"/>
      <c r="B736" s="182"/>
      <c r="C736" s="182"/>
      <c r="D736" s="182"/>
      <c r="E736" s="182"/>
      <c r="F736" s="182"/>
      <c r="G736" s="263"/>
      <c r="H736" s="182"/>
      <c r="I736" s="182"/>
      <c r="J736" s="182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</row>
    <row r="737">
      <c r="A737" s="182"/>
      <c r="B737" s="182"/>
      <c r="C737" s="182"/>
      <c r="D737" s="182"/>
      <c r="E737" s="182"/>
      <c r="F737" s="182"/>
      <c r="G737" s="263"/>
      <c r="H737" s="182"/>
      <c r="I737" s="182"/>
      <c r="J737" s="182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</row>
    <row r="738">
      <c r="A738" s="182"/>
      <c r="B738" s="182"/>
      <c r="C738" s="182"/>
      <c r="D738" s="182"/>
      <c r="E738" s="182"/>
      <c r="F738" s="182"/>
      <c r="G738" s="263"/>
      <c r="H738" s="182"/>
      <c r="I738" s="182"/>
      <c r="J738" s="182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</row>
    <row r="739">
      <c r="A739" s="182"/>
      <c r="B739" s="182"/>
      <c r="C739" s="182"/>
      <c r="D739" s="182"/>
      <c r="E739" s="182"/>
      <c r="F739" s="182"/>
      <c r="G739" s="263"/>
      <c r="H739" s="182"/>
      <c r="I739" s="182"/>
      <c r="J739" s="182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</row>
    <row r="740">
      <c r="A740" s="182"/>
      <c r="B740" s="182"/>
      <c r="C740" s="182"/>
      <c r="D740" s="182"/>
      <c r="E740" s="182"/>
      <c r="F740" s="182"/>
      <c r="G740" s="263"/>
      <c r="H740" s="182"/>
      <c r="I740" s="182"/>
      <c r="J740" s="182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</row>
    <row r="741">
      <c r="A741" s="182"/>
      <c r="B741" s="182"/>
      <c r="C741" s="182"/>
      <c r="D741" s="182"/>
      <c r="E741" s="182"/>
      <c r="F741" s="182"/>
      <c r="G741" s="263"/>
      <c r="H741" s="182"/>
      <c r="I741" s="182"/>
      <c r="J741" s="182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</row>
    <row r="742">
      <c r="A742" s="182"/>
      <c r="B742" s="182"/>
      <c r="C742" s="182"/>
      <c r="D742" s="182"/>
      <c r="E742" s="182"/>
      <c r="F742" s="182"/>
      <c r="G742" s="263"/>
      <c r="H742" s="182"/>
      <c r="I742" s="182"/>
      <c r="J742" s="182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</row>
    <row r="743">
      <c r="A743" s="182"/>
      <c r="B743" s="182"/>
      <c r="C743" s="182"/>
      <c r="D743" s="182"/>
      <c r="E743" s="182"/>
      <c r="F743" s="182"/>
      <c r="G743" s="263"/>
      <c r="H743" s="182"/>
      <c r="I743" s="182"/>
      <c r="J743" s="182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</row>
    <row r="744">
      <c r="A744" s="182"/>
      <c r="B744" s="182"/>
      <c r="C744" s="182"/>
      <c r="D744" s="182"/>
      <c r="E744" s="182"/>
      <c r="F744" s="182"/>
      <c r="G744" s="263"/>
      <c r="H744" s="182"/>
      <c r="I744" s="182"/>
      <c r="J744" s="182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</row>
    <row r="745">
      <c r="A745" s="182"/>
      <c r="B745" s="182"/>
      <c r="C745" s="182"/>
      <c r="D745" s="182"/>
      <c r="E745" s="182"/>
      <c r="F745" s="182"/>
      <c r="G745" s="263"/>
      <c r="H745" s="182"/>
      <c r="I745" s="182"/>
      <c r="J745" s="182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</row>
    <row r="746">
      <c r="A746" s="182"/>
      <c r="B746" s="182"/>
      <c r="C746" s="182"/>
      <c r="D746" s="182"/>
      <c r="E746" s="182"/>
      <c r="F746" s="182"/>
      <c r="G746" s="263"/>
      <c r="H746" s="182"/>
      <c r="I746" s="182"/>
      <c r="J746" s="182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</row>
    <row r="747">
      <c r="A747" s="182"/>
      <c r="B747" s="182"/>
      <c r="C747" s="182"/>
      <c r="D747" s="182"/>
      <c r="E747" s="182"/>
      <c r="F747" s="182"/>
      <c r="G747" s="263"/>
      <c r="H747" s="182"/>
      <c r="I747" s="182"/>
      <c r="J747" s="182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</row>
    <row r="748">
      <c r="A748" s="182"/>
      <c r="B748" s="182"/>
      <c r="C748" s="182"/>
      <c r="D748" s="182"/>
      <c r="E748" s="182"/>
      <c r="F748" s="182"/>
      <c r="G748" s="263"/>
      <c r="H748" s="182"/>
      <c r="I748" s="182"/>
      <c r="J748" s="182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</row>
    <row r="749">
      <c r="A749" s="182"/>
      <c r="B749" s="182"/>
      <c r="C749" s="182"/>
      <c r="D749" s="182"/>
      <c r="E749" s="182"/>
      <c r="F749" s="182"/>
      <c r="G749" s="263"/>
      <c r="H749" s="182"/>
      <c r="I749" s="182"/>
      <c r="J749" s="182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</row>
    <row r="750">
      <c r="A750" s="182"/>
      <c r="B750" s="182"/>
      <c r="C750" s="182"/>
      <c r="D750" s="182"/>
      <c r="E750" s="182"/>
      <c r="F750" s="182"/>
      <c r="G750" s="263"/>
      <c r="H750" s="182"/>
      <c r="I750" s="182"/>
      <c r="J750" s="182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</row>
    <row r="751">
      <c r="A751" s="182"/>
      <c r="B751" s="182"/>
      <c r="C751" s="182"/>
      <c r="D751" s="182"/>
      <c r="E751" s="182"/>
      <c r="F751" s="182"/>
      <c r="G751" s="263"/>
      <c r="H751" s="182"/>
      <c r="I751" s="182"/>
      <c r="J751" s="182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</row>
    <row r="752">
      <c r="A752" s="182"/>
      <c r="B752" s="182"/>
      <c r="C752" s="182"/>
      <c r="D752" s="182"/>
      <c r="E752" s="182"/>
      <c r="F752" s="182"/>
      <c r="G752" s="263"/>
      <c r="H752" s="182"/>
      <c r="I752" s="182"/>
      <c r="J752" s="182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</row>
    <row r="753">
      <c r="A753" s="182"/>
      <c r="B753" s="182"/>
      <c r="C753" s="182"/>
      <c r="D753" s="182"/>
      <c r="E753" s="182"/>
      <c r="F753" s="182"/>
      <c r="G753" s="263"/>
      <c r="H753" s="182"/>
      <c r="I753" s="182"/>
      <c r="J753" s="182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</row>
    <row r="754">
      <c r="A754" s="182"/>
      <c r="B754" s="182"/>
      <c r="C754" s="182"/>
      <c r="D754" s="182"/>
      <c r="E754" s="182"/>
      <c r="F754" s="182"/>
      <c r="G754" s="263"/>
      <c r="H754" s="182"/>
      <c r="I754" s="182"/>
      <c r="J754" s="182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</row>
    <row r="755">
      <c r="A755" s="182"/>
      <c r="B755" s="182"/>
      <c r="C755" s="182"/>
      <c r="D755" s="182"/>
      <c r="E755" s="182"/>
      <c r="F755" s="182"/>
      <c r="G755" s="263"/>
      <c r="H755" s="182"/>
      <c r="I755" s="182"/>
      <c r="J755" s="182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</row>
    <row r="756">
      <c r="A756" s="182"/>
      <c r="B756" s="182"/>
      <c r="C756" s="182"/>
      <c r="D756" s="182"/>
      <c r="E756" s="182"/>
      <c r="F756" s="182"/>
      <c r="G756" s="263"/>
      <c r="H756" s="182"/>
      <c r="I756" s="182"/>
      <c r="J756" s="182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</row>
    <row r="757">
      <c r="A757" s="182"/>
      <c r="B757" s="182"/>
      <c r="C757" s="182"/>
      <c r="D757" s="182"/>
      <c r="E757" s="182"/>
      <c r="F757" s="182"/>
      <c r="G757" s="263"/>
      <c r="H757" s="182"/>
      <c r="I757" s="182"/>
      <c r="J757" s="182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</row>
    <row r="758">
      <c r="A758" s="182"/>
      <c r="B758" s="182"/>
      <c r="C758" s="182"/>
      <c r="D758" s="182"/>
      <c r="E758" s="182"/>
      <c r="F758" s="182"/>
      <c r="G758" s="263"/>
      <c r="H758" s="182"/>
      <c r="I758" s="182"/>
      <c r="J758" s="182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</row>
    <row r="759">
      <c r="A759" s="182"/>
      <c r="B759" s="182"/>
      <c r="C759" s="182"/>
      <c r="D759" s="182"/>
      <c r="E759" s="182"/>
      <c r="F759" s="182"/>
      <c r="G759" s="263"/>
      <c r="H759" s="182"/>
      <c r="I759" s="182"/>
      <c r="J759" s="182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</row>
    <row r="760">
      <c r="A760" s="182"/>
      <c r="B760" s="182"/>
      <c r="C760" s="182"/>
      <c r="D760" s="182"/>
      <c r="E760" s="182"/>
      <c r="F760" s="182"/>
      <c r="G760" s="263"/>
      <c r="H760" s="182"/>
      <c r="I760" s="182"/>
      <c r="J760" s="182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</row>
    <row r="761">
      <c r="A761" s="182"/>
      <c r="B761" s="182"/>
      <c r="C761" s="182"/>
      <c r="D761" s="182"/>
      <c r="E761" s="182"/>
      <c r="F761" s="182"/>
      <c r="G761" s="263"/>
      <c r="H761" s="182"/>
      <c r="I761" s="182"/>
      <c r="J761" s="182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</row>
    <row r="762">
      <c r="A762" s="182"/>
      <c r="B762" s="182"/>
      <c r="C762" s="182"/>
      <c r="D762" s="182"/>
      <c r="E762" s="182"/>
      <c r="F762" s="182"/>
      <c r="G762" s="263"/>
      <c r="H762" s="182"/>
      <c r="I762" s="182"/>
      <c r="J762" s="182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</row>
    <row r="763">
      <c r="A763" s="182"/>
      <c r="B763" s="182"/>
      <c r="C763" s="182"/>
      <c r="D763" s="182"/>
      <c r="E763" s="182"/>
      <c r="F763" s="182"/>
      <c r="G763" s="263"/>
      <c r="H763" s="182"/>
      <c r="I763" s="182"/>
      <c r="J763" s="182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</row>
    <row r="764">
      <c r="A764" s="182"/>
      <c r="B764" s="182"/>
      <c r="C764" s="182"/>
      <c r="D764" s="182"/>
      <c r="E764" s="182"/>
      <c r="F764" s="182"/>
      <c r="G764" s="263"/>
      <c r="H764" s="182"/>
      <c r="I764" s="182"/>
      <c r="J764" s="182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</row>
    <row r="765">
      <c r="A765" s="182"/>
      <c r="B765" s="182"/>
      <c r="C765" s="182"/>
      <c r="D765" s="182"/>
      <c r="E765" s="182"/>
      <c r="F765" s="182"/>
      <c r="G765" s="263"/>
      <c r="H765" s="182"/>
      <c r="I765" s="182"/>
      <c r="J765" s="182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</row>
    <row r="766">
      <c r="A766" s="182"/>
      <c r="B766" s="182"/>
      <c r="C766" s="182"/>
      <c r="D766" s="182"/>
      <c r="E766" s="182"/>
      <c r="F766" s="182"/>
      <c r="G766" s="263"/>
      <c r="H766" s="182"/>
      <c r="I766" s="182"/>
      <c r="J766" s="182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</row>
    <row r="767">
      <c r="A767" s="182"/>
      <c r="B767" s="182"/>
      <c r="C767" s="182"/>
      <c r="D767" s="182"/>
      <c r="E767" s="182"/>
      <c r="F767" s="182"/>
      <c r="G767" s="263"/>
      <c r="H767" s="182"/>
      <c r="I767" s="182"/>
      <c r="J767" s="182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</row>
    <row r="768">
      <c r="A768" s="182"/>
      <c r="B768" s="182"/>
      <c r="C768" s="182"/>
      <c r="D768" s="182"/>
      <c r="E768" s="182"/>
      <c r="F768" s="182"/>
      <c r="G768" s="263"/>
      <c r="H768" s="182"/>
      <c r="I768" s="182"/>
      <c r="J768" s="182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</row>
    <row r="769">
      <c r="A769" s="182"/>
      <c r="B769" s="182"/>
      <c r="C769" s="182"/>
      <c r="D769" s="182"/>
      <c r="E769" s="182"/>
      <c r="F769" s="182"/>
      <c r="G769" s="263"/>
      <c r="H769" s="182"/>
      <c r="I769" s="182"/>
      <c r="J769" s="182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</row>
    <row r="770">
      <c r="A770" s="182"/>
      <c r="B770" s="182"/>
      <c r="C770" s="182"/>
      <c r="D770" s="182"/>
      <c r="E770" s="182"/>
      <c r="F770" s="182"/>
      <c r="G770" s="263"/>
      <c r="H770" s="182"/>
      <c r="I770" s="182"/>
      <c r="J770" s="182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</row>
    <row r="771">
      <c r="A771" s="182"/>
      <c r="B771" s="182"/>
      <c r="C771" s="182"/>
      <c r="D771" s="182"/>
      <c r="E771" s="182"/>
      <c r="F771" s="182"/>
      <c r="G771" s="263"/>
      <c r="H771" s="182"/>
      <c r="I771" s="182"/>
      <c r="J771" s="182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</row>
    <row r="772">
      <c r="A772" s="182"/>
      <c r="B772" s="182"/>
      <c r="C772" s="182"/>
      <c r="D772" s="182"/>
      <c r="E772" s="182"/>
      <c r="F772" s="182"/>
      <c r="G772" s="263"/>
      <c r="H772" s="182"/>
      <c r="I772" s="182"/>
      <c r="J772" s="182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</row>
    <row r="773">
      <c r="A773" s="182"/>
      <c r="B773" s="182"/>
      <c r="C773" s="182"/>
      <c r="D773" s="182"/>
      <c r="E773" s="182"/>
      <c r="F773" s="182"/>
      <c r="G773" s="263"/>
      <c r="H773" s="182"/>
      <c r="I773" s="182"/>
      <c r="J773" s="182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</row>
    <row r="774">
      <c r="A774" s="182"/>
      <c r="B774" s="182"/>
      <c r="C774" s="182"/>
      <c r="D774" s="182"/>
      <c r="E774" s="182"/>
      <c r="F774" s="182"/>
      <c r="G774" s="263"/>
      <c r="H774" s="182"/>
      <c r="I774" s="182"/>
      <c r="J774" s="182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</row>
    <row r="775">
      <c r="A775" s="182"/>
      <c r="B775" s="182"/>
      <c r="C775" s="182"/>
      <c r="D775" s="182"/>
      <c r="E775" s="182"/>
      <c r="F775" s="182"/>
      <c r="G775" s="263"/>
      <c r="H775" s="182"/>
      <c r="I775" s="182"/>
      <c r="J775" s="182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</row>
    <row r="776">
      <c r="A776" s="182"/>
      <c r="B776" s="182"/>
      <c r="C776" s="182"/>
      <c r="D776" s="182"/>
      <c r="E776" s="182"/>
      <c r="F776" s="182"/>
      <c r="G776" s="263"/>
      <c r="H776" s="182"/>
      <c r="I776" s="182"/>
      <c r="J776" s="182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</row>
    <row r="777">
      <c r="A777" s="182"/>
      <c r="B777" s="182"/>
      <c r="C777" s="182"/>
      <c r="D777" s="182"/>
      <c r="E777" s="182"/>
      <c r="F777" s="182"/>
      <c r="G777" s="263"/>
      <c r="H777" s="182"/>
      <c r="I777" s="182"/>
      <c r="J777" s="182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</row>
    <row r="778">
      <c r="A778" s="182"/>
      <c r="B778" s="182"/>
      <c r="C778" s="182"/>
      <c r="D778" s="182"/>
      <c r="E778" s="182"/>
      <c r="F778" s="182"/>
      <c r="G778" s="263"/>
      <c r="H778" s="182"/>
      <c r="I778" s="182"/>
      <c r="J778" s="182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</row>
    <row r="779">
      <c r="A779" s="182"/>
      <c r="B779" s="182"/>
      <c r="C779" s="182"/>
      <c r="D779" s="182"/>
      <c r="E779" s="182"/>
      <c r="F779" s="182"/>
      <c r="G779" s="263"/>
      <c r="H779" s="182"/>
      <c r="I779" s="182"/>
      <c r="J779" s="182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</row>
    <row r="780">
      <c r="A780" s="182"/>
      <c r="B780" s="182"/>
      <c r="C780" s="182"/>
      <c r="D780" s="182"/>
      <c r="E780" s="182"/>
      <c r="F780" s="182"/>
      <c r="G780" s="263"/>
      <c r="H780" s="182"/>
      <c r="I780" s="182"/>
      <c r="J780" s="182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</row>
    <row r="781">
      <c r="A781" s="182"/>
      <c r="B781" s="182"/>
      <c r="C781" s="182"/>
      <c r="D781" s="182"/>
      <c r="E781" s="182"/>
      <c r="F781" s="182"/>
      <c r="G781" s="263"/>
      <c r="H781" s="182"/>
      <c r="I781" s="182"/>
      <c r="J781" s="182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</row>
    <row r="782">
      <c r="A782" s="182"/>
      <c r="B782" s="182"/>
      <c r="C782" s="182"/>
      <c r="D782" s="182"/>
      <c r="E782" s="182"/>
      <c r="F782" s="182"/>
      <c r="G782" s="263"/>
      <c r="H782" s="182"/>
      <c r="I782" s="182"/>
      <c r="J782" s="182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</row>
    <row r="783">
      <c r="A783" s="182"/>
      <c r="B783" s="182"/>
      <c r="C783" s="182"/>
      <c r="D783" s="182"/>
      <c r="E783" s="182"/>
      <c r="F783" s="182"/>
      <c r="G783" s="263"/>
      <c r="H783" s="182"/>
      <c r="I783" s="182"/>
      <c r="J783" s="182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</row>
    <row r="784">
      <c r="A784" s="182"/>
      <c r="B784" s="182"/>
      <c r="C784" s="182"/>
      <c r="D784" s="182"/>
      <c r="E784" s="182"/>
      <c r="F784" s="182"/>
      <c r="G784" s="263"/>
      <c r="H784" s="182"/>
      <c r="I784" s="182"/>
      <c r="J784" s="182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</row>
    <row r="785">
      <c r="A785" s="182"/>
      <c r="B785" s="182"/>
      <c r="C785" s="182"/>
      <c r="D785" s="182"/>
      <c r="E785" s="182"/>
      <c r="F785" s="182"/>
      <c r="G785" s="263"/>
      <c r="H785" s="182"/>
      <c r="I785" s="182"/>
      <c r="J785" s="182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</row>
    <row r="786">
      <c r="A786" s="182"/>
      <c r="B786" s="182"/>
      <c r="C786" s="182"/>
      <c r="D786" s="182"/>
      <c r="E786" s="182"/>
      <c r="F786" s="182"/>
      <c r="G786" s="263"/>
      <c r="H786" s="182"/>
      <c r="I786" s="182"/>
      <c r="J786" s="182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</row>
    <row r="787">
      <c r="A787" s="182"/>
      <c r="B787" s="182"/>
      <c r="C787" s="182"/>
      <c r="D787" s="182"/>
      <c r="E787" s="182"/>
      <c r="F787" s="182"/>
      <c r="G787" s="263"/>
      <c r="H787" s="182"/>
      <c r="I787" s="182"/>
      <c r="J787" s="182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</row>
    <row r="788">
      <c r="A788" s="182"/>
      <c r="B788" s="182"/>
      <c r="C788" s="182"/>
      <c r="D788" s="182"/>
      <c r="E788" s="182"/>
      <c r="F788" s="182"/>
      <c r="G788" s="263"/>
      <c r="H788" s="182"/>
      <c r="I788" s="182"/>
      <c r="J788" s="182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</row>
    <row r="789">
      <c r="A789" s="182"/>
      <c r="B789" s="182"/>
      <c r="C789" s="182"/>
      <c r="D789" s="182"/>
      <c r="E789" s="182"/>
      <c r="F789" s="182"/>
      <c r="G789" s="263"/>
      <c r="H789" s="182"/>
      <c r="I789" s="182"/>
      <c r="J789" s="182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</row>
    <row r="790">
      <c r="A790" s="182"/>
      <c r="B790" s="182"/>
      <c r="C790" s="182"/>
      <c r="D790" s="182"/>
      <c r="E790" s="182"/>
      <c r="F790" s="182"/>
      <c r="G790" s="263"/>
      <c r="H790" s="182"/>
      <c r="I790" s="182"/>
      <c r="J790" s="182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</row>
    <row r="791">
      <c r="A791" s="182"/>
      <c r="B791" s="182"/>
      <c r="C791" s="182"/>
      <c r="D791" s="182"/>
      <c r="E791" s="182"/>
      <c r="F791" s="182"/>
      <c r="G791" s="263"/>
      <c r="H791" s="182"/>
      <c r="I791" s="182"/>
      <c r="J791" s="182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</row>
    <row r="792">
      <c r="A792" s="182"/>
      <c r="B792" s="182"/>
      <c r="C792" s="182"/>
      <c r="D792" s="182"/>
      <c r="E792" s="182"/>
      <c r="F792" s="182"/>
      <c r="G792" s="263"/>
      <c r="H792" s="182"/>
      <c r="I792" s="182"/>
      <c r="J792" s="182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</row>
    <row r="793">
      <c r="A793" s="182"/>
      <c r="B793" s="182"/>
      <c r="C793" s="182"/>
      <c r="D793" s="182"/>
      <c r="E793" s="182"/>
      <c r="F793" s="182"/>
      <c r="G793" s="263"/>
      <c r="H793" s="182"/>
      <c r="I793" s="182"/>
      <c r="J793" s="182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</row>
    <row r="794">
      <c r="A794" s="182"/>
      <c r="B794" s="182"/>
      <c r="C794" s="182"/>
      <c r="D794" s="182"/>
      <c r="E794" s="182"/>
      <c r="F794" s="182"/>
      <c r="G794" s="263"/>
      <c r="H794" s="182"/>
      <c r="I794" s="182"/>
      <c r="J794" s="182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</row>
    <row r="795">
      <c r="A795" s="182"/>
      <c r="B795" s="182"/>
      <c r="C795" s="182"/>
      <c r="D795" s="182"/>
      <c r="E795" s="182"/>
      <c r="F795" s="182"/>
      <c r="G795" s="263"/>
      <c r="H795" s="182"/>
      <c r="I795" s="182"/>
      <c r="J795" s="182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</row>
    <row r="796">
      <c r="A796" s="182"/>
      <c r="B796" s="182"/>
      <c r="C796" s="182"/>
      <c r="D796" s="182"/>
      <c r="E796" s="182"/>
      <c r="F796" s="182"/>
      <c r="G796" s="263"/>
      <c r="H796" s="182"/>
      <c r="I796" s="182"/>
      <c r="J796" s="182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</row>
    <row r="797">
      <c r="A797" s="182"/>
      <c r="B797" s="182"/>
      <c r="C797" s="182"/>
      <c r="D797" s="182"/>
      <c r="E797" s="182"/>
      <c r="F797" s="182"/>
      <c r="G797" s="263"/>
      <c r="H797" s="182"/>
      <c r="I797" s="182"/>
      <c r="J797" s="182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</row>
    <row r="798">
      <c r="A798" s="182"/>
      <c r="B798" s="182"/>
      <c r="C798" s="182"/>
      <c r="D798" s="182"/>
      <c r="E798" s="182"/>
      <c r="F798" s="182"/>
      <c r="G798" s="263"/>
      <c r="H798" s="182"/>
      <c r="I798" s="182"/>
      <c r="J798" s="182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</row>
    <row r="799">
      <c r="A799" s="182"/>
      <c r="B799" s="182"/>
      <c r="C799" s="182"/>
      <c r="D799" s="182"/>
      <c r="E799" s="182"/>
      <c r="F799" s="182"/>
      <c r="G799" s="263"/>
      <c r="H799" s="182"/>
      <c r="I799" s="182"/>
      <c r="J799" s="182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</row>
    <row r="800">
      <c r="A800" s="182"/>
      <c r="B800" s="182"/>
      <c r="C800" s="182"/>
      <c r="D800" s="182"/>
      <c r="E800" s="182"/>
      <c r="F800" s="182"/>
      <c r="G800" s="263"/>
      <c r="H800" s="182"/>
      <c r="I800" s="182"/>
      <c r="J800" s="182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</row>
    <row r="801">
      <c r="A801" s="182"/>
      <c r="B801" s="182"/>
      <c r="C801" s="182"/>
      <c r="D801" s="182"/>
      <c r="E801" s="182"/>
      <c r="F801" s="182"/>
      <c r="G801" s="263"/>
      <c r="H801" s="182"/>
      <c r="I801" s="182"/>
      <c r="J801" s="182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</row>
    <row r="802">
      <c r="A802" s="182"/>
      <c r="B802" s="182"/>
      <c r="C802" s="182"/>
      <c r="D802" s="182"/>
      <c r="E802" s="182"/>
      <c r="F802" s="182"/>
      <c r="G802" s="263"/>
      <c r="H802" s="182"/>
      <c r="I802" s="182"/>
      <c r="J802" s="182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</row>
    <row r="803">
      <c r="A803" s="182"/>
      <c r="B803" s="182"/>
      <c r="C803" s="182"/>
      <c r="D803" s="182"/>
      <c r="E803" s="182"/>
      <c r="F803" s="182"/>
      <c r="G803" s="263"/>
      <c r="H803" s="182"/>
      <c r="I803" s="182"/>
      <c r="J803" s="182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</row>
    <row r="804">
      <c r="A804" s="182"/>
      <c r="B804" s="182"/>
      <c r="C804" s="182"/>
      <c r="D804" s="182"/>
      <c r="E804" s="182"/>
      <c r="F804" s="182"/>
      <c r="G804" s="263"/>
      <c r="H804" s="182"/>
      <c r="I804" s="182"/>
      <c r="J804" s="182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</row>
    <row r="805">
      <c r="A805" s="182"/>
      <c r="B805" s="182"/>
      <c r="C805" s="182"/>
      <c r="D805" s="182"/>
      <c r="E805" s="182"/>
      <c r="F805" s="182"/>
      <c r="G805" s="263"/>
      <c r="H805" s="182"/>
      <c r="I805" s="182"/>
      <c r="J805" s="182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</row>
    <row r="806">
      <c r="A806" s="182"/>
      <c r="B806" s="182"/>
      <c r="C806" s="182"/>
      <c r="D806" s="182"/>
      <c r="E806" s="182"/>
      <c r="F806" s="182"/>
      <c r="G806" s="263"/>
      <c r="H806" s="182"/>
      <c r="I806" s="182"/>
      <c r="J806" s="182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</row>
    <row r="807">
      <c r="A807" s="182"/>
      <c r="B807" s="182"/>
      <c r="C807" s="182"/>
      <c r="D807" s="182"/>
      <c r="E807" s="182"/>
      <c r="F807" s="182"/>
      <c r="G807" s="263"/>
      <c r="H807" s="182"/>
      <c r="I807" s="182"/>
      <c r="J807" s="182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</row>
    <row r="808">
      <c r="A808" s="182"/>
      <c r="B808" s="182"/>
      <c r="C808" s="182"/>
      <c r="D808" s="182"/>
      <c r="E808" s="182"/>
      <c r="F808" s="182"/>
      <c r="G808" s="263"/>
      <c r="H808" s="182"/>
      <c r="I808" s="182"/>
      <c r="J808" s="182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</row>
    <row r="809">
      <c r="A809" s="182"/>
      <c r="B809" s="182"/>
      <c r="C809" s="182"/>
      <c r="D809" s="182"/>
      <c r="E809" s="182"/>
      <c r="F809" s="182"/>
      <c r="G809" s="263"/>
      <c r="H809" s="182"/>
      <c r="I809" s="182"/>
      <c r="J809" s="182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</row>
    <row r="810">
      <c r="A810" s="182"/>
      <c r="B810" s="182"/>
      <c r="C810" s="182"/>
      <c r="D810" s="182"/>
      <c r="E810" s="182"/>
      <c r="F810" s="182"/>
      <c r="G810" s="263"/>
      <c r="H810" s="182"/>
      <c r="I810" s="182"/>
      <c r="J810" s="182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</row>
    <row r="811">
      <c r="A811" s="182"/>
      <c r="B811" s="182"/>
      <c r="C811" s="182"/>
      <c r="D811" s="182"/>
      <c r="E811" s="182"/>
      <c r="F811" s="182"/>
      <c r="G811" s="263"/>
      <c r="H811" s="182"/>
      <c r="I811" s="182"/>
      <c r="J811" s="182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</row>
    <row r="812">
      <c r="A812" s="182"/>
      <c r="B812" s="182"/>
      <c r="C812" s="182"/>
      <c r="D812" s="182"/>
      <c r="E812" s="182"/>
      <c r="F812" s="182"/>
      <c r="G812" s="263"/>
      <c r="H812" s="182"/>
      <c r="I812" s="182"/>
      <c r="J812" s="182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</row>
    <row r="813">
      <c r="A813" s="182"/>
      <c r="B813" s="182"/>
      <c r="C813" s="182"/>
      <c r="D813" s="182"/>
      <c r="E813" s="182"/>
      <c r="F813" s="182"/>
      <c r="G813" s="263"/>
      <c r="H813" s="182"/>
      <c r="I813" s="182"/>
      <c r="J813" s="182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</row>
    <row r="814">
      <c r="A814" s="182"/>
      <c r="B814" s="182"/>
      <c r="C814" s="182"/>
      <c r="D814" s="182"/>
      <c r="E814" s="182"/>
      <c r="F814" s="182"/>
      <c r="G814" s="263"/>
      <c r="H814" s="182"/>
      <c r="I814" s="182"/>
      <c r="J814" s="182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</row>
    <row r="815">
      <c r="A815" s="182"/>
      <c r="B815" s="182"/>
      <c r="C815" s="182"/>
      <c r="D815" s="182"/>
      <c r="E815" s="182"/>
      <c r="F815" s="182"/>
      <c r="G815" s="263"/>
      <c r="H815" s="182"/>
      <c r="I815" s="182"/>
      <c r="J815" s="182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</row>
    <row r="816">
      <c r="A816" s="182"/>
      <c r="B816" s="182"/>
      <c r="C816" s="182"/>
      <c r="D816" s="182"/>
      <c r="E816" s="182"/>
      <c r="F816" s="182"/>
      <c r="G816" s="263"/>
      <c r="H816" s="182"/>
      <c r="I816" s="182"/>
      <c r="J816" s="182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</row>
    <row r="817">
      <c r="A817" s="182"/>
      <c r="B817" s="182"/>
      <c r="C817" s="182"/>
      <c r="D817" s="182"/>
      <c r="E817" s="182"/>
      <c r="F817" s="182"/>
      <c r="G817" s="263"/>
      <c r="H817" s="182"/>
      <c r="I817" s="182"/>
      <c r="J817" s="182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</row>
    <row r="818">
      <c r="A818" s="182"/>
      <c r="B818" s="182"/>
      <c r="C818" s="182"/>
      <c r="D818" s="182"/>
      <c r="E818" s="182"/>
      <c r="F818" s="182"/>
      <c r="G818" s="263"/>
      <c r="H818" s="182"/>
      <c r="I818" s="182"/>
      <c r="J818" s="182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</row>
    <row r="819">
      <c r="A819" s="182"/>
      <c r="B819" s="182"/>
      <c r="C819" s="182"/>
      <c r="D819" s="182"/>
      <c r="E819" s="182"/>
      <c r="F819" s="182"/>
      <c r="G819" s="263"/>
      <c r="H819" s="182"/>
      <c r="I819" s="182"/>
      <c r="J819" s="182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</row>
    <row r="820">
      <c r="A820" s="182"/>
      <c r="B820" s="182"/>
      <c r="C820" s="182"/>
      <c r="D820" s="182"/>
      <c r="E820" s="182"/>
      <c r="F820" s="182"/>
      <c r="G820" s="263"/>
      <c r="H820" s="182"/>
      <c r="I820" s="182"/>
      <c r="J820" s="182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</row>
    <row r="821">
      <c r="A821" s="182"/>
      <c r="B821" s="182"/>
      <c r="C821" s="182"/>
      <c r="D821" s="182"/>
      <c r="E821" s="182"/>
      <c r="F821" s="182"/>
      <c r="G821" s="263"/>
      <c r="H821" s="182"/>
      <c r="I821" s="182"/>
      <c r="J821" s="182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</row>
    <row r="822">
      <c r="A822" s="182"/>
      <c r="B822" s="182"/>
      <c r="C822" s="182"/>
      <c r="D822" s="182"/>
      <c r="E822" s="182"/>
      <c r="F822" s="182"/>
      <c r="G822" s="263"/>
      <c r="H822" s="182"/>
      <c r="I822" s="182"/>
      <c r="J822" s="182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</row>
    <row r="823">
      <c r="A823" s="182"/>
      <c r="B823" s="182"/>
      <c r="C823" s="182"/>
      <c r="D823" s="182"/>
      <c r="E823" s="182"/>
      <c r="F823" s="182"/>
      <c r="G823" s="263"/>
      <c r="H823" s="182"/>
      <c r="I823" s="182"/>
      <c r="J823" s="182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</row>
    <row r="824">
      <c r="A824" s="182"/>
      <c r="B824" s="182"/>
      <c r="C824" s="182"/>
      <c r="D824" s="182"/>
      <c r="E824" s="182"/>
      <c r="F824" s="182"/>
      <c r="G824" s="263"/>
      <c r="H824" s="182"/>
      <c r="I824" s="182"/>
      <c r="J824" s="182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</row>
    <row r="825">
      <c r="A825" s="182"/>
      <c r="B825" s="182"/>
      <c r="C825" s="182"/>
      <c r="D825" s="182"/>
      <c r="E825" s="182"/>
      <c r="F825" s="182"/>
      <c r="G825" s="263"/>
      <c r="H825" s="182"/>
      <c r="I825" s="182"/>
      <c r="J825" s="182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</row>
    <row r="826">
      <c r="A826" s="182"/>
      <c r="B826" s="182"/>
      <c r="C826" s="182"/>
      <c r="D826" s="182"/>
      <c r="E826" s="182"/>
      <c r="F826" s="182"/>
      <c r="G826" s="263"/>
      <c r="H826" s="182"/>
      <c r="I826" s="182"/>
      <c r="J826" s="182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</row>
    <row r="827">
      <c r="A827" s="182"/>
      <c r="B827" s="182"/>
      <c r="C827" s="182"/>
      <c r="D827" s="182"/>
      <c r="E827" s="182"/>
      <c r="F827" s="182"/>
      <c r="G827" s="263"/>
      <c r="H827" s="182"/>
      <c r="I827" s="182"/>
      <c r="J827" s="182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</row>
    <row r="828">
      <c r="A828" s="182"/>
      <c r="B828" s="182"/>
      <c r="C828" s="182"/>
      <c r="D828" s="182"/>
      <c r="E828" s="182"/>
      <c r="F828" s="182"/>
      <c r="G828" s="263"/>
      <c r="H828" s="182"/>
      <c r="I828" s="182"/>
      <c r="J828" s="182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</row>
    <row r="829">
      <c r="A829" s="182"/>
      <c r="B829" s="182"/>
      <c r="C829" s="182"/>
      <c r="D829" s="182"/>
      <c r="E829" s="182"/>
      <c r="F829" s="182"/>
      <c r="G829" s="263"/>
      <c r="H829" s="182"/>
      <c r="I829" s="182"/>
      <c r="J829" s="182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</row>
    <row r="830">
      <c r="A830" s="182"/>
      <c r="B830" s="182"/>
      <c r="C830" s="182"/>
      <c r="D830" s="182"/>
      <c r="E830" s="182"/>
      <c r="F830" s="182"/>
      <c r="G830" s="263"/>
      <c r="H830" s="182"/>
      <c r="I830" s="182"/>
      <c r="J830" s="182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</row>
    <row r="831">
      <c r="A831" s="182"/>
      <c r="B831" s="182"/>
      <c r="C831" s="182"/>
      <c r="D831" s="182"/>
      <c r="E831" s="182"/>
      <c r="F831" s="182"/>
      <c r="G831" s="263"/>
      <c r="H831" s="182"/>
      <c r="I831" s="182"/>
      <c r="J831" s="182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</row>
    <row r="832">
      <c r="A832" s="182"/>
      <c r="B832" s="182"/>
      <c r="C832" s="182"/>
      <c r="D832" s="182"/>
      <c r="E832" s="182"/>
      <c r="F832" s="182"/>
      <c r="G832" s="263"/>
      <c r="H832" s="182"/>
      <c r="I832" s="182"/>
      <c r="J832" s="182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</row>
    <row r="833">
      <c r="A833" s="182"/>
      <c r="B833" s="182"/>
      <c r="C833" s="182"/>
      <c r="D833" s="182"/>
      <c r="E833" s="182"/>
      <c r="F833" s="182"/>
      <c r="G833" s="263"/>
      <c r="H833" s="182"/>
      <c r="I833" s="182"/>
      <c r="J833" s="182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</row>
    <row r="834">
      <c r="A834" s="182"/>
      <c r="B834" s="182"/>
      <c r="C834" s="182"/>
      <c r="D834" s="182"/>
      <c r="E834" s="182"/>
      <c r="F834" s="182"/>
      <c r="G834" s="263"/>
      <c r="H834" s="182"/>
      <c r="I834" s="182"/>
      <c r="J834" s="182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</row>
    <row r="835">
      <c r="A835" s="182"/>
      <c r="B835" s="182"/>
      <c r="C835" s="182"/>
      <c r="D835" s="182"/>
      <c r="E835" s="182"/>
      <c r="F835" s="182"/>
      <c r="G835" s="263"/>
      <c r="H835" s="182"/>
      <c r="I835" s="182"/>
      <c r="J835" s="182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</row>
    <row r="836">
      <c r="A836" s="182"/>
      <c r="B836" s="182"/>
      <c r="C836" s="182"/>
      <c r="D836" s="182"/>
      <c r="E836" s="182"/>
      <c r="F836" s="182"/>
      <c r="G836" s="263"/>
      <c r="H836" s="182"/>
      <c r="I836" s="182"/>
      <c r="J836" s="182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</row>
    <row r="837">
      <c r="A837" s="182"/>
      <c r="B837" s="182"/>
      <c r="C837" s="182"/>
      <c r="D837" s="182"/>
      <c r="E837" s="182"/>
      <c r="F837" s="182"/>
      <c r="G837" s="263"/>
      <c r="H837" s="182"/>
      <c r="I837" s="182"/>
      <c r="J837" s="182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</row>
    <row r="838">
      <c r="A838" s="182"/>
      <c r="B838" s="182"/>
      <c r="C838" s="182"/>
      <c r="D838" s="182"/>
      <c r="E838" s="182"/>
      <c r="F838" s="182"/>
      <c r="G838" s="263"/>
      <c r="H838" s="182"/>
      <c r="I838" s="182"/>
      <c r="J838" s="182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</row>
    <row r="839">
      <c r="A839" s="182"/>
      <c r="B839" s="182"/>
      <c r="C839" s="182"/>
      <c r="D839" s="182"/>
      <c r="E839" s="182"/>
      <c r="F839" s="182"/>
      <c r="G839" s="263"/>
      <c r="H839" s="182"/>
      <c r="I839" s="182"/>
      <c r="J839" s="182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</row>
    <row r="840">
      <c r="A840" s="182"/>
      <c r="B840" s="182"/>
      <c r="C840" s="182"/>
      <c r="D840" s="182"/>
      <c r="E840" s="182"/>
      <c r="F840" s="182"/>
      <c r="G840" s="263"/>
      <c r="H840" s="182"/>
      <c r="I840" s="182"/>
      <c r="J840" s="182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</row>
    <row r="841">
      <c r="A841" s="182"/>
      <c r="B841" s="182"/>
      <c r="C841" s="182"/>
      <c r="D841" s="182"/>
      <c r="E841" s="182"/>
      <c r="F841" s="182"/>
      <c r="G841" s="263"/>
      <c r="H841" s="182"/>
      <c r="I841" s="182"/>
      <c r="J841" s="182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</row>
    <row r="842">
      <c r="A842" s="182"/>
      <c r="B842" s="182"/>
      <c r="C842" s="182"/>
      <c r="D842" s="182"/>
      <c r="E842" s="182"/>
      <c r="F842" s="182"/>
      <c r="G842" s="263"/>
      <c r="H842" s="182"/>
      <c r="I842" s="182"/>
      <c r="J842" s="182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</row>
    <row r="843">
      <c r="A843" s="182"/>
      <c r="B843" s="182"/>
      <c r="C843" s="182"/>
      <c r="D843" s="182"/>
      <c r="E843" s="182"/>
      <c r="F843" s="182"/>
      <c r="G843" s="263"/>
      <c r="H843" s="182"/>
      <c r="I843" s="182"/>
      <c r="J843" s="182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</row>
    <row r="844">
      <c r="A844" s="182"/>
      <c r="B844" s="182"/>
      <c r="C844" s="182"/>
      <c r="D844" s="182"/>
      <c r="E844" s="182"/>
      <c r="F844" s="182"/>
      <c r="G844" s="263"/>
      <c r="H844" s="182"/>
      <c r="I844" s="182"/>
      <c r="J844" s="182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</row>
    <row r="845">
      <c r="A845" s="182"/>
      <c r="B845" s="182"/>
      <c r="C845" s="182"/>
      <c r="D845" s="182"/>
      <c r="E845" s="182"/>
      <c r="F845" s="182"/>
      <c r="G845" s="263"/>
      <c r="H845" s="182"/>
      <c r="I845" s="182"/>
      <c r="J845" s="182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</row>
    <row r="846">
      <c r="A846" s="182"/>
      <c r="B846" s="182"/>
      <c r="C846" s="182"/>
      <c r="D846" s="182"/>
      <c r="E846" s="182"/>
      <c r="F846" s="182"/>
      <c r="G846" s="263"/>
      <c r="H846" s="182"/>
      <c r="I846" s="182"/>
      <c r="J846" s="182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</row>
    <row r="847">
      <c r="A847" s="182"/>
      <c r="B847" s="182"/>
      <c r="C847" s="182"/>
      <c r="D847" s="182"/>
      <c r="E847" s="182"/>
      <c r="F847" s="182"/>
      <c r="G847" s="263"/>
      <c r="H847" s="182"/>
      <c r="I847" s="182"/>
      <c r="J847" s="182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</row>
    <row r="848">
      <c r="A848" s="182"/>
      <c r="B848" s="182"/>
      <c r="C848" s="182"/>
      <c r="D848" s="182"/>
      <c r="E848" s="182"/>
      <c r="F848" s="182"/>
      <c r="G848" s="263"/>
      <c r="H848" s="182"/>
      <c r="I848" s="182"/>
      <c r="J848" s="182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</row>
    <row r="849">
      <c r="A849" s="182"/>
      <c r="B849" s="182"/>
      <c r="C849" s="182"/>
      <c r="D849" s="182"/>
      <c r="E849" s="182"/>
      <c r="F849" s="182"/>
      <c r="G849" s="263"/>
      <c r="H849" s="182"/>
      <c r="I849" s="182"/>
      <c r="J849" s="182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</row>
    <row r="850">
      <c r="A850" s="182"/>
      <c r="B850" s="182"/>
      <c r="C850" s="182"/>
      <c r="D850" s="182"/>
      <c r="E850" s="182"/>
      <c r="F850" s="182"/>
      <c r="G850" s="263"/>
      <c r="H850" s="182"/>
      <c r="I850" s="182"/>
      <c r="J850" s="182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</row>
    <row r="851">
      <c r="A851" s="182"/>
      <c r="B851" s="182"/>
      <c r="C851" s="182"/>
      <c r="D851" s="182"/>
      <c r="E851" s="182"/>
      <c r="F851" s="182"/>
      <c r="G851" s="263"/>
      <c r="H851" s="182"/>
      <c r="I851" s="182"/>
      <c r="J851" s="182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</row>
    <row r="852">
      <c r="A852" s="182"/>
      <c r="B852" s="182"/>
      <c r="C852" s="182"/>
      <c r="D852" s="182"/>
      <c r="E852" s="182"/>
      <c r="F852" s="182"/>
      <c r="G852" s="263"/>
      <c r="H852" s="182"/>
      <c r="I852" s="182"/>
      <c r="J852" s="182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</row>
    <row r="853">
      <c r="A853" s="182"/>
      <c r="B853" s="182"/>
      <c r="C853" s="182"/>
      <c r="D853" s="182"/>
      <c r="E853" s="182"/>
      <c r="F853" s="182"/>
      <c r="G853" s="263"/>
      <c r="H853" s="182"/>
      <c r="I853" s="182"/>
      <c r="J853" s="182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</row>
    <row r="854">
      <c r="A854" s="182"/>
      <c r="B854" s="182"/>
      <c r="C854" s="182"/>
      <c r="D854" s="182"/>
      <c r="E854" s="182"/>
      <c r="F854" s="182"/>
      <c r="G854" s="263"/>
      <c r="H854" s="182"/>
      <c r="I854" s="182"/>
      <c r="J854" s="182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</row>
    <row r="855">
      <c r="A855" s="182"/>
      <c r="B855" s="182"/>
      <c r="C855" s="182"/>
      <c r="D855" s="182"/>
      <c r="E855" s="182"/>
      <c r="F855" s="182"/>
      <c r="G855" s="263"/>
      <c r="H855" s="182"/>
      <c r="I855" s="182"/>
      <c r="J855" s="182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</row>
    <row r="856">
      <c r="A856" s="182"/>
      <c r="B856" s="182"/>
      <c r="C856" s="182"/>
      <c r="D856" s="182"/>
      <c r="E856" s="182"/>
      <c r="F856" s="182"/>
      <c r="G856" s="263"/>
      <c r="H856" s="182"/>
      <c r="I856" s="182"/>
      <c r="J856" s="182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</row>
    <row r="857">
      <c r="A857" s="182"/>
      <c r="B857" s="182"/>
      <c r="C857" s="182"/>
      <c r="D857" s="182"/>
      <c r="E857" s="182"/>
      <c r="F857" s="182"/>
      <c r="G857" s="263"/>
      <c r="H857" s="182"/>
      <c r="I857" s="182"/>
      <c r="J857" s="182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</row>
    <row r="858">
      <c r="A858" s="182"/>
      <c r="B858" s="182"/>
      <c r="C858" s="182"/>
      <c r="D858" s="182"/>
      <c r="E858" s="182"/>
      <c r="F858" s="182"/>
      <c r="G858" s="263"/>
      <c r="H858" s="182"/>
      <c r="I858" s="182"/>
      <c r="J858" s="182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</row>
    <row r="859">
      <c r="A859" s="182"/>
      <c r="B859" s="182"/>
      <c r="C859" s="182"/>
      <c r="D859" s="182"/>
      <c r="E859" s="182"/>
      <c r="F859" s="182"/>
      <c r="G859" s="263"/>
      <c r="H859" s="182"/>
      <c r="I859" s="182"/>
      <c r="J859" s="182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</row>
    <row r="860">
      <c r="A860" s="182"/>
      <c r="B860" s="182"/>
      <c r="C860" s="182"/>
      <c r="D860" s="182"/>
      <c r="E860" s="182"/>
      <c r="F860" s="182"/>
      <c r="G860" s="263"/>
      <c r="H860" s="182"/>
      <c r="I860" s="182"/>
      <c r="J860" s="182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</row>
    <row r="861">
      <c r="A861" s="182"/>
      <c r="B861" s="182"/>
      <c r="C861" s="182"/>
      <c r="D861" s="182"/>
      <c r="E861" s="182"/>
      <c r="F861" s="182"/>
      <c r="G861" s="263"/>
      <c r="H861" s="182"/>
      <c r="I861" s="182"/>
      <c r="J861" s="182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</row>
    <row r="862">
      <c r="A862" s="182"/>
      <c r="B862" s="182"/>
      <c r="C862" s="182"/>
      <c r="D862" s="182"/>
      <c r="E862" s="182"/>
      <c r="F862" s="182"/>
      <c r="G862" s="263"/>
      <c r="H862" s="182"/>
      <c r="I862" s="182"/>
      <c r="J862" s="182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</row>
    <row r="863">
      <c r="A863" s="182"/>
      <c r="B863" s="182"/>
      <c r="C863" s="182"/>
      <c r="D863" s="182"/>
      <c r="E863" s="182"/>
      <c r="F863" s="182"/>
      <c r="G863" s="263"/>
      <c r="H863" s="182"/>
      <c r="I863" s="182"/>
      <c r="J863" s="182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</row>
    <row r="864">
      <c r="A864" s="182"/>
      <c r="B864" s="182"/>
      <c r="C864" s="182"/>
      <c r="D864" s="182"/>
      <c r="E864" s="182"/>
      <c r="F864" s="182"/>
      <c r="G864" s="263"/>
      <c r="H864" s="182"/>
      <c r="I864" s="182"/>
      <c r="J864" s="182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</row>
    <row r="865">
      <c r="A865" s="182"/>
      <c r="B865" s="182"/>
      <c r="C865" s="182"/>
      <c r="D865" s="182"/>
      <c r="E865" s="182"/>
      <c r="F865" s="182"/>
      <c r="G865" s="263"/>
      <c r="H865" s="182"/>
      <c r="I865" s="182"/>
      <c r="J865" s="182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</row>
    <row r="866">
      <c r="A866" s="182"/>
      <c r="B866" s="182"/>
      <c r="C866" s="182"/>
      <c r="D866" s="182"/>
      <c r="E866" s="182"/>
      <c r="F866" s="182"/>
      <c r="G866" s="263"/>
      <c r="H866" s="182"/>
      <c r="I866" s="182"/>
      <c r="J866" s="182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</row>
    <row r="867">
      <c r="A867" s="182"/>
      <c r="B867" s="182"/>
      <c r="C867" s="182"/>
      <c r="D867" s="182"/>
      <c r="E867" s="182"/>
      <c r="F867" s="182"/>
      <c r="G867" s="263"/>
      <c r="H867" s="182"/>
      <c r="I867" s="182"/>
      <c r="J867" s="182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</row>
    <row r="868">
      <c r="A868" s="182"/>
      <c r="B868" s="182"/>
      <c r="C868" s="182"/>
      <c r="D868" s="182"/>
      <c r="E868" s="182"/>
      <c r="F868" s="182"/>
      <c r="G868" s="263"/>
      <c r="H868" s="182"/>
      <c r="I868" s="182"/>
      <c r="J868" s="182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</row>
    <row r="869">
      <c r="A869" s="182"/>
      <c r="B869" s="182"/>
      <c r="C869" s="182"/>
      <c r="D869" s="182"/>
      <c r="E869" s="182"/>
      <c r="F869" s="182"/>
      <c r="G869" s="263"/>
      <c r="H869" s="182"/>
      <c r="I869" s="182"/>
      <c r="J869" s="182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</row>
    <row r="870">
      <c r="A870" s="182"/>
      <c r="B870" s="182"/>
      <c r="C870" s="182"/>
      <c r="D870" s="182"/>
      <c r="E870" s="182"/>
      <c r="F870" s="182"/>
      <c r="G870" s="263"/>
      <c r="H870" s="182"/>
      <c r="I870" s="182"/>
      <c r="J870" s="182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</row>
    <row r="871">
      <c r="A871" s="182"/>
      <c r="B871" s="182"/>
      <c r="C871" s="182"/>
      <c r="D871" s="182"/>
      <c r="E871" s="182"/>
      <c r="F871" s="182"/>
      <c r="G871" s="263"/>
      <c r="H871" s="182"/>
      <c r="I871" s="182"/>
      <c r="J871" s="182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</row>
    <row r="872">
      <c r="A872" s="182"/>
      <c r="B872" s="182"/>
      <c r="C872" s="182"/>
      <c r="D872" s="182"/>
      <c r="E872" s="182"/>
      <c r="F872" s="182"/>
      <c r="G872" s="263"/>
      <c r="H872" s="182"/>
      <c r="I872" s="182"/>
      <c r="J872" s="182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</row>
    <row r="873">
      <c r="A873" s="182"/>
      <c r="B873" s="182"/>
      <c r="C873" s="182"/>
      <c r="D873" s="182"/>
      <c r="E873" s="182"/>
      <c r="F873" s="182"/>
      <c r="G873" s="263"/>
      <c r="H873" s="182"/>
      <c r="I873" s="182"/>
      <c r="J873" s="182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</row>
    <row r="874">
      <c r="A874" s="182"/>
      <c r="B874" s="182"/>
      <c r="C874" s="182"/>
      <c r="D874" s="182"/>
      <c r="E874" s="182"/>
      <c r="F874" s="182"/>
      <c r="G874" s="263"/>
      <c r="H874" s="182"/>
      <c r="I874" s="182"/>
      <c r="J874" s="182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</row>
    <row r="875">
      <c r="A875" s="182"/>
      <c r="B875" s="182"/>
      <c r="C875" s="182"/>
      <c r="D875" s="182"/>
      <c r="E875" s="182"/>
      <c r="F875" s="182"/>
      <c r="G875" s="263"/>
      <c r="H875" s="182"/>
      <c r="I875" s="182"/>
      <c r="J875" s="182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</row>
    <row r="876">
      <c r="A876" s="182"/>
      <c r="B876" s="182"/>
      <c r="C876" s="182"/>
      <c r="D876" s="182"/>
      <c r="E876" s="182"/>
      <c r="F876" s="182"/>
      <c r="G876" s="263"/>
      <c r="H876" s="182"/>
      <c r="I876" s="182"/>
      <c r="J876" s="182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</row>
    <row r="877">
      <c r="A877" s="182"/>
      <c r="B877" s="182"/>
      <c r="C877" s="182"/>
      <c r="D877" s="182"/>
      <c r="E877" s="182"/>
      <c r="F877" s="182"/>
      <c r="G877" s="263"/>
      <c r="H877" s="182"/>
      <c r="I877" s="182"/>
      <c r="J877" s="182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</row>
    <row r="878">
      <c r="A878" s="182"/>
      <c r="B878" s="182"/>
      <c r="C878" s="182"/>
      <c r="D878" s="182"/>
      <c r="E878" s="182"/>
      <c r="F878" s="182"/>
      <c r="G878" s="263"/>
      <c r="H878" s="182"/>
      <c r="I878" s="182"/>
      <c r="J878" s="182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</row>
    <row r="879">
      <c r="A879" s="182"/>
      <c r="B879" s="182"/>
      <c r="C879" s="182"/>
      <c r="D879" s="182"/>
      <c r="E879" s="182"/>
      <c r="F879" s="182"/>
      <c r="G879" s="263"/>
      <c r="H879" s="182"/>
      <c r="I879" s="182"/>
      <c r="J879" s="182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</row>
    <row r="880">
      <c r="A880" s="182"/>
      <c r="B880" s="182"/>
      <c r="C880" s="182"/>
      <c r="D880" s="182"/>
      <c r="E880" s="182"/>
      <c r="F880" s="182"/>
      <c r="G880" s="263"/>
      <c r="H880" s="182"/>
      <c r="I880" s="182"/>
      <c r="J880" s="182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</row>
    <row r="881">
      <c r="A881" s="182"/>
      <c r="B881" s="182"/>
      <c r="C881" s="182"/>
      <c r="D881" s="182"/>
      <c r="E881" s="182"/>
      <c r="F881" s="182"/>
      <c r="G881" s="263"/>
      <c r="H881" s="182"/>
      <c r="I881" s="182"/>
      <c r="J881" s="182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</row>
    <row r="882">
      <c r="A882" s="182"/>
      <c r="B882" s="182"/>
      <c r="C882" s="182"/>
      <c r="D882" s="182"/>
      <c r="E882" s="182"/>
      <c r="F882" s="182"/>
      <c r="G882" s="263"/>
      <c r="H882" s="182"/>
      <c r="I882" s="182"/>
      <c r="J882" s="182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</row>
    <row r="883">
      <c r="A883" s="182"/>
      <c r="B883" s="182"/>
      <c r="C883" s="182"/>
      <c r="D883" s="182"/>
      <c r="E883" s="182"/>
      <c r="F883" s="182"/>
      <c r="G883" s="263"/>
      <c r="H883" s="182"/>
      <c r="I883" s="182"/>
      <c r="J883" s="182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</row>
    <row r="884">
      <c r="A884" s="182"/>
      <c r="B884" s="182"/>
      <c r="C884" s="182"/>
      <c r="D884" s="182"/>
      <c r="E884" s="182"/>
      <c r="F884" s="182"/>
      <c r="G884" s="263"/>
      <c r="H884" s="182"/>
      <c r="I884" s="182"/>
      <c r="J884" s="182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</row>
    <row r="885">
      <c r="A885" s="182"/>
      <c r="B885" s="182"/>
      <c r="C885" s="182"/>
      <c r="D885" s="182"/>
      <c r="E885" s="182"/>
      <c r="F885" s="182"/>
      <c r="G885" s="263"/>
      <c r="H885" s="182"/>
      <c r="I885" s="182"/>
      <c r="J885" s="182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</row>
    <row r="886">
      <c r="A886" s="182"/>
      <c r="B886" s="182"/>
      <c r="C886" s="182"/>
      <c r="D886" s="182"/>
      <c r="E886" s="182"/>
      <c r="F886" s="182"/>
      <c r="G886" s="263"/>
      <c r="H886" s="182"/>
      <c r="I886" s="182"/>
      <c r="J886" s="182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</row>
    <row r="887">
      <c r="A887" s="182"/>
      <c r="B887" s="182"/>
      <c r="C887" s="182"/>
      <c r="D887" s="182"/>
      <c r="E887" s="182"/>
      <c r="F887" s="182"/>
      <c r="G887" s="263"/>
      <c r="H887" s="182"/>
      <c r="I887" s="182"/>
      <c r="J887" s="182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</row>
    <row r="888">
      <c r="A888" s="182"/>
      <c r="B888" s="182"/>
      <c r="C888" s="182"/>
      <c r="D888" s="182"/>
      <c r="E888" s="182"/>
      <c r="F888" s="182"/>
      <c r="G888" s="263"/>
      <c r="H888" s="182"/>
      <c r="I888" s="182"/>
      <c r="J888" s="182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</row>
    <row r="889">
      <c r="A889" s="182"/>
      <c r="B889" s="182"/>
      <c r="C889" s="182"/>
      <c r="D889" s="182"/>
      <c r="E889" s="182"/>
      <c r="F889" s="182"/>
      <c r="G889" s="263"/>
      <c r="H889" s="182"/>
      <c r="I889" s="182"/>
      <c r="J889" s="182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</row>
    <row r="890">
      <c r="A890" s="182"/>
      <c r="B890" s="182"/>
      <c r="C890" s="182"/>
      <c r="D890" s="182"/>
      <c r="E890" s="182"/>
      <c r="F890" s="182"/>
      <c r="G890" s="263"/>
      <c r="H890" s="182"/>
      <c r="I890" s="182"/>
      <c r="J890" s="182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</row>
    <row r="891">
      <c r="A891" s="182"/>
      <c r="B891" s="182"/>
      <c r="C891" s="182"/>
      <c r="D891" s="182"/>
      <c r="E891" s="182"/>
      <c r="F891" s="182"/>
      <c r="G891" s="263"/>
      <c r="H891" s="182"/>
      <c r="I891" s="182"/>
      <c r="J891" s="182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</row>
    <row r="892">
      <c r="A892" s="182"/>
      <c r="B892" s="182"/>
      <c r="C892" s="182"/>
      <c r="D892" s="182"/>
      <c r="E892" s="182"/>
      <c r="F892" s="182"/>
      <c r="G892" s="263"/>
      <c r="H892" s="182"/>
      <c r="I892" s="182"/>
      <c r="J892" s="182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</row>
    <row r="893">
      <c r="A893" s="182"/>
      <c r="B893" s="182"/>
      <c r="C893" s="182"/>
      <c r="D893" s="182"/>
      <c r="E893" s="182"/>
      <c r="F893" s="182"/>
      <c r="G893" s="263"/>
      <c r="H893" s="182"/>
      <c r="I893" s="182"/>
      <c r="J893" s="182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</row>
    <row r="894">
      <c r="A894" s="182"/>
      <c r="B894" s="182"/>
      <c r="C894" s="182"/>
      <c r="D894" s="182"/>
      <c r="E894" s="182"/>
      <c r="F894" s="182"/>
      <c r="G894" s="263"/>
      <c r="H894" s="182"/>
      <c r="I894" s="182"/>
      <c r="J894" s="182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</row>
    <row r="895">
      <c r="A895" s="182"/>
      <c r="B895" s="182"/>
      <c r="C895" s="182"/>
      <c r="D895" s="182"/>
      <c r="E895" s="182"/>
      <c r="F895" s="182"/>
      <c r="G895" s="263"/>
      <c r="H895" s="182"/>
      <c r="I895" s="182"/>
      <c r="J895" s="182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</row>
    <row r="896">
      <c r="A896" s="182"/>
      <c r="B896" s="182"/>
      <c r="C896" s="182"/>
      <c r="D896" s="182"/>
      <c r="E896" s="182"/>
      <c r="F896" s="182"/>
      <c r="G896" s="263"/>
      <c r="H896" s="182"/>
      <c r="I896" s="182"/>
      <c r="J896" s="182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</row>
    <row r="897">
      <c r="A897" s="182"/>
      <c r="B897" s="182"/>
      <c r="C897" s="182"/>
      <c r="D897" s="182"/>
      <c r="E897" s="182"/>
      <c r="F897" s="182"/>
      <c r="G897" s="263"/>
      <c r="H897" s="182"/>
      <c r="I897" s="182"/>
      <c r="J897" s="182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</row>
    <row r="898">
      <c r="A898" s="182"/>
      <c r="B898" s="182"/>
      <c r="C898" s="182"/>
      <c r="D898" s="182"/>
      <c r="E898" s="182"/>
      <c r="F898" s="182"/>
      <c r="G898" s="263"/>
      <c r="H898" s="182"/>
      <c r="I898" s="182"/>
      <c r="J898" s="182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</row>
    <row r="899">
      <c r="A899" s="182"/>
      <c r="B899" s="182"/>
      <c r="C899" s="182"/>
      <c r="D899" s="182"/>
      <c r="E899" s="182"/>
      <c r="F899" s="182"/>
      <c r="G899" s="263"/>
      <c r="H899" s="182"/>
      <c r="I899" s="182"/>
      <c r="J899" s="182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</row>
    <row r="900">
      <c r="A900" s="182"/>
      <c r="B900" s="182"/>
      <c r="C900" s="182"/>
      <c r="D900" s="182"/>
      <c r="E900" s="182"/>
      <c r="F900" s="182"/>
      <c r="G900" s="263"/>
      <c r="H900" s="182"/>
      <c r="I900" s="182"/>
      <c r="J900" s="182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</row>
    <row r="901">
      <c r="A901" s="182"/>
      <c r="B901" s="182"/>
      <c r="C901" s="182"/>
      <c r="D901" s="182"/>
      <c r="E901" s="182"/>
      <c r="F901" s="182"/>
      <c r="G901" s="263"/>
      <c r="H901" s="182"/>
      <c r="I901" s="182"/>
      <c r="J901" s="182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</row>
    <row r="902">
      <c r="A902" s="182"/>
      <c r="B902" s="182"/>
      <c r="C902" s="182"/>
      <c r="D902" s="182"/>
      <c r="E902" s="182"/>
      <c r="F902" s="182"/>
      <c r="G902" s="263"/>
      <c r="H902" s="182"/>
      <c r="I902" s="182"/>
      <c r="J902" s="182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</row>
    <row r="903">
      <c r="A903" s="182"/>
      <c r="B903" s="182"/>
      <c r="C903" s="182"/>
      <c r="D903" s="182"/>
      <c r="E903" s="182"/>
      <c r="F903" s="182"/>
      <c r="G903" s="263"/>
      <c r="H903" s="182"/>
      <c r="I903" s="182"/>
      <c r="J903" s="182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</row>
    <row r="904">
      <c r="A904" s="182"/>
      <c r="B904" s="182"/>
      <c r="C904" s="182"/>
      <c r="D904" s="182"/>
      <c r="E904" s="182"/>
      <c r="F904" s="182"/>
      <c r="G904" s="263"/>
      <c r="H904" s="182"/>
      <c r="I904" s="182"/>
      <c r="J904" s="182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</row>
    <row r="905">
      <c r="A905" s="182"/>
      <c r="B905" s="182"/>
      <c r="C905" s="182"/>
      <c r="D905" s="182"/>
      <c r="E905" s="182"/>
      <c r="F905" s="182"/>
      <c r="G905" s="263"/>
      <c r="H905" s="182"/>
      <c r="I905" s="182"/>
      <c r="J905" s="182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</row>
    <row r="906">
      <c r="A906" s="182"/>
      <c r="B906" s="182"/>
      <c r="C906" s="182"/>
      <c r="D906" s="182"/>
      <c r="E906" s="182"/>
      <c r="F906" s="182"/>
      <c r="G906" s="263"/>
      <c r="H906" s="182"/>
      <c r="I906" s="182"/>
      <c r="J906" s="182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</row>
    <row r="907">
      <c r="A907" s="182"/>
      <c r="B907" s="182"/>
      <c r="C907" s="182"/>
      <c r="D907" s="182"/>
      <c r="E907" s="182"/>
      <c r="F907" s="182"/>
      <c r="G907" s="263"/>
      <c r="H907" s="182"/>
      <c r="I907" s="182"/>
      <c r="J907" s="182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</row>
    <row r="908">
      <c r="A908" s="182"/>
      <c r="B908" s="182"/>
      <c r="C908" s="182"/>
      <c r="D908" s="182"/>
      <c r="E908" s="182"/>
      <c r="F908" s="182"/>
      <c r="G908" s="263"/>
      <c r="H908" s="182"/>
      <c r="I908" s="182"/>
      <c r="J908" s="182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</row>
    <row r="909">
      <c r="A909" s="182"/>
      <c r="B909" s="182"/>
      <c r="C909" s="182"/>
      <c r="D909" s="182"/>
      <c r="E909" s="182"/>
      <c r="F909" s="182"/>
      <c r="G909" s="263"/>
      <c r="H909" s="182"/>
      <c r="I909" s="182"/>
      <c r="J909" s="182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</row>
    <row r="910">
      <c r="A910" s="182"/>
      <c r="B910" s="182"/>
      <c r="C910" s="182"/>
      <c r="D910" s="182"/>
      <c r="E910" s="182"/>
      <c r="F910" s="182"/>
      <c r="G910" s="263"/>
      <c r="H910" s="182"/>
      <c r="I910" s="182"/>
      <c r="J910" s="182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</row>
    <row r="911">
      <c r="A911" s="182"/>
      <c r="B911" s="182"/>
      <c r="C911" s="182"/>
      <c r="D911" s="182"/>
      <c r="E911" s="182"/>
      <c r="F911" s="182"/>
      <c r="G911" s="263"/>
      <c r="H911" s="182"/>
      <c r="I911" s="182"/>
      <c r="J911" s="182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</row>
    <row r="912">
      <c r="A912" s="182"/>
      <c r="B912" s="182"/>
      <c r="C912" s="182"/>
      <c r="D912" s="182"/>
      <c r="E912" s="182"/>
      <c r="F912" s="182"/>
      <c r="G912" s="263"/>
      <c r="H912" s="182"/>
      <c r="I912" s="182"/>
      <c r="J912" s="182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</row>
    <row r="913">
      <c r="A913" s="182"/>
      <c r="B913" s="182"/>
      <c r="C913" s="182"/>
      <c r="D913" s="182"/>
      <c r="E913" s="182"/>
      <c r="F913" s="182"/>
      <c r="G913" s="263"/>
      <c r="H913" s="182"/>
      <c r="I913" s="182"/>
      <c r="J913" s="182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</row>
    <row r="914">
      <c r="A914" s="182"/>
      <c r="B914" s="182"/>
      <c r="C914" s="182"/>
      <c r="D914" s="182"/>
      <c r="E914" s="182"/>
      <c r="F914" s="182"/>
      <c r="G914" s="263"/>
      <c r="H914" s="182"/>
      <c r="I914" s="182"/>
      <c r="J914" s="182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</row>
    <row r="915">
      <c r="A915" s="182"/>
      <c r="B915" s="182"/>
      <c r="C915" s="182"/>
      <c r="D915" s="182"/>
      <c r="E915" s="182"/>
      <c r="F915" s="182"/>
      <c r="G915" s="263"/>
      <c r="H915" s="182"/>
      <c r="I915" s="182"/>
      <c r="J915" s="182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</row>
    <row r="916">
      <c r="A916" s="182"/>
      <c r="B916" s="182"/>
      <c r="C916" s="182"/>
      <c r="D916" s="182"/>
      <c r="E916" s="182"/>
      <c r="F916" s="182"/>
      <c r="G916" s="263"/>
      <c r="H916" s="182"/>
      <c r="I916" s="182"/>
      <c r="J916" s="182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</row>
    <row r="917">
      <c r="A917" s="182"/>
      <c r="B917" s="182"/>
      <c r="C917" s="182"/>
      <c r="D917" s="182"/>
      <c r="E917" s="182"/>
      <c r="F917" s="182"/>
      <c r="G917" s="263"/>
      <c r="H917" s="182"/>
      <c r="I917" s="182"/>
      <c r="J917" s="182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</row>
    <row r="918">
      <c r="A918" s="182"/>
      <c r="B918" s="182"/>
      <c r="C918" s="182"/>
      <c r="D918" s="182"/>
      <c r="E918" s="182"/>
      <c r="F918" s="182"/>
      <c r="G918" s="263"/>
      <c r="H918" s="182"/>
      <c r="I918" s="182"/>
      <c r="J918" s="182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</row>
    <row r="919">
      <c r="A919" s="182"/>
      <c r="B919" s="182"/>
      <c r="C919" s="182"/>
      <c r="D919" s="182"/>
      <c r="E919" s="182"/>
      <c r="F919" s="182"/>
      <c r="G919" s="263"/>
      <c r="H919" s="182"/>
      <c r="I919" s="182"/>
      <c r="J919" s="182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</row>
    <row r="920">
      <c r="A920" s="182"/>
      <c r="B920" s="182"/>
      <c r="C920" s="182"/>
      <c r="D920" s="182"/>
      <c r="E920" s="182"/>
      <c r="F920" s="182"/>
      <c r="G920" s="263"/>
      <c r="H920" s="182"/>
      <c r="I920" s="182"/>
      <c r="J920" s="182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</row>
    <row r="921">
      <c r="A921" s="182"/>
      <c r="B921" s="182"/>
      <c r="C921" s="182"/>
      <c r="D921" s="182"/>
      <c r="E921" s="182"/>
      <c r="F921" s="182"/>
      <c r="G921" s="263"/>
      <c r="H921" s="182"/>
      <c r="I921" s="182"/>
      <c r="J921" s="182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</row>
    <row r="922">
      <c r="A922" s="182"/>
      <c r="B922" s="182"/>
      <c r="C922" s="182"/>
      <c r="D922" s="182"/>
      <c r="E922" s="182"/>
      <c r="F922" s="182"/>
      <c r="G922" s="263"/>
      <c r="H922" s="182"/>
      <c r="I922" s="182"/>
      <c r="J922" s="182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</row>
    <row r="923">
      <c r="A923" s="182"/>
      <c r="B923" s="182"/>
      <c r="C923" s="182"/>
      <c r="D923" s="182"/>
      <c r="E923" s="182"/>
      <c r="F923" s="182"/>
      <c r="G923" s="263"/>
      <c r="H923" s="182"/>
      <c r="I923" s="182"/>
      <c r="J923" s="182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</row>
    <row r="924">
      <c r="A924" s="182"/>
      <c r="B924" s="182"/>
      <c r="C924" s="182"/>
      <c r="D924" s="182"/>
      <c r="E924" s="182"/>
      <c r="F924" s="182"/>
      <c r="G924" s="263"/>
      <c r="H924" s="182"/>
      <c r="I924" s="182"/>
      <c r="J924" s="182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</row>
    <row r="925">
      <c r="A925" s="182"/>
      <c r="B925" s="182"/>
      <c r="C925" s="182"/>
      <c r="D925" s="182"/>
      <c r="E925" s="182"/>
      <c r="F925" s="182"/>
      <c r="G925" s="263"/>
      <c r="H925" s="182"/>
      <c r="I925" s="182"/>
      <c r="J925" s="182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</row>
    <row r="926">
      <c r="A926" s="182"/>
      <c r="B926" s="182"/>
      <c r="C926" s="182"/>
      <c r="D926" s="182"/>
      <c r="E926" s="182"/>
      <c r="F926" s="182"/>
      <c r="G926" s="263"/>
      <c r="H926" s="182"/>
      <c r="I926" s="182"/>
      <c r="J926" s="182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</row>
    <row r="927">
      <c r="A927" s="182"/>
      <c r="B927" s="182"/>
      <c r="C927" s="182"/>
      <c r="D927" s="182"/>
      <c r="E927" s="182"/>
      <c r="F927" s="182"/>
      <c r="G927" s="263"/>
      <c r="H927" s="182"/>
      <c r="I927" s="182"/>
      <c r="J927" s="182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</row>
    <row r="928">
      <c r="A928" s="182"/>
      <c r="B928" s="182"/>
      <c r="C928" s="182"/>
      <c r="D928" s="182"/>
      <c r="E928" s="182"/>
      <c r="F928" s="182"/>
      <c r="G928" s="263"/>
      <c r="H928" s="182"/>
      <c r="I928" s="182"/>
      <c r="J928" s="182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</row>
    <row r="929">
      <c r="A929" s="182"/>
      <c r="B929" s="182"/>
      <c r="C929" s="182"/>
      <c r="D929" s="182"/>
      <c r="E929" s="182"/>
      <c r="F929" s="182"/>
      <c r="G929" s="263"/>
      <c r="H929" s="182"/>
      <c r="I929" s="182"/>
      <c r="J929" s="182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</row>
    <row r="930">
      <c r="A930" s="182"/>
      <c r="B930" s="182"/>
      <c r="C930" s="182"/>
      <c r="D930" s="182"/>
      <c r="E930" s="182"/>
      <c r="F930" s="182"/>
      <c r="G930" s="263"/>
      <c r="H930" s="182"/>
      <c r="I930" s="182"/>
      <c r="J930" s="182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</row>
    <row r="931">
      <c r="A931" s="182"/>
      <c r="B931" s="182"/>
      <c r="C931" s="182"/>
      <c r="D931" s="182"/>
      <c r="E931" s="182"/>
      <c r="F931" s="182"/>
      <c r="G931" s="263"/>
      <c r="H931" s="182"/>
      <c r="I931" s="182"/>
      <c r="J931" s="182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</row>
    <row r="932">
      <c r="A932" s="182"/>
      <c r="B932" s="182"/>
      <c r="C932" s="182"/>
      <c r="D932" s="182"/>
      <c r="E932" s="182"/>
      <c r="F932" s="182"/>
      <c r="G932" s="263"/>
      <c r="H932" s="182"/>
      <c r="I932" s="182"/>
      <c r="J932" s="182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</row>
    <row r="933">
      <c r="A933" s="182"/>
      <c r="B933" s="182"/>
      <c r="C933" s="182"/>
      <c r="D933" s="182"/>
      <c r="E933" s="182"/>
      <c r="F933" s="182"/>
      <c r="G933" s="263"/>
      <c r="H933" s="182"/>
      <c r="I933" s="182"/>
      <c r="J933" s="182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</row>
    <row r="934">
      <c r="A934" s="182"/>
      <c r="B934" s="182"/>
      <c r="C934" s="182"/>
      <c r="D934" s="182"/>
      <c r="E934" s="182"/>
      <c r="F934" s="182"/>
      <c r="G934" s="263"/>
      <c r="H934" s="182"/>
      <c r="I934" s="182"/>
      <c r="J934" s="182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</row>
    <row r="935">
      <c r="A935" s="182"/>
      <c r="B935" s="182"/>
      <c r="C935" s="182"/>
      <c r="D935" s="182"/>
      <c r="E935" s="182"/>
      <c r="F935" s="182"/>
      <c r="G935" s="263"/>
      <c r="H935" s="182"/>
      <c r="I935" s="182"/>
      <c r="J935" s="182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</row>
    <row r="936">
      <c r="A936" s="182"/>
      <c r="B936" s="182"/>
      <c r="C936" s="182"/>
      <c r="D936" s="182"/>
      <c r="E936" s="182"/>
      <c r="F936" s="182"/>
      <c r="G936" s="263"/>
      <c r="H936" s="182"/>
      <c r="I936" s="182"/>
      <c r="J936" s="182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</row>
    <row r="937">
      <c r="A937" s="182"/>
      <c r="B937" s="182"/>
      <c r="C937" s="182"/>
      <c r="D937" s="182"/>
      <c r="E937" s="182"/>
      <c r="F937" s="182"/>
      <c r="G937" s="263"/>
      <c r="H937" s="182"/>
      <c r="I937" s="182"/>
      <c r="J937" s="182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</row>
    <row r="938">
      <c r="A938" s="182"/>
      <c r="B938" s="182"/>
      <c r="C938" s="182"/>
      <c r="D938" s="182"/>
      <c r="E938" s="182"/>
      <c r="F938" s="182"/>
      <c r="G938" s="263"/>
      <c r="H938" s="182"/>
      <c r="I938" s="182"/>
      <c r="J938" s="182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</row>
    <row r="939">
      <c r="A939" s="182"/>
      <c r="B939" s="182"/>
      <c r="C939" s="182"/>
      <c r="D939" s="182"/>
      <c r="E939" s="182"/>
      <c r="F939" s="182"/>
      <c r="G939" s="263"/>
      <c r="H939" s="182"/>
      <c r="I939" s="182"/>
      <c r="J939" s="182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</row>
    <row r="940">
      <c r="A940" s="182"/>
      <c r="B940" s="182"/>
      <c r="C940" s="182"/>
      <c r="D940" s="182"/>
      <c r="E940" s="182"/>
      <c r="F940" s="182"/>
      <c r="G940" s="263"/>
      <c r="H940" s="182"/>
      <c r="I940" s="182"/>
      <c r="J940" s="182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</row>
    <row r="941">
      <c r="A941" s="182"/>
      <c r="B941" s="182"/>
      <c r="C941" s="182"/>
      <c r="D941" s="182"/>
      <c r="E941" s="182"/>
      <c r="F941" s="182"/>
      <c r="G941" s="263"/>
      <c r="H941" s="182"/>
      <c r="I941" s="182"/>
      <c r="J941" s="182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</row>
    <row r="942">
      <c r="A942" s="182"/>
      <c r="B942" s="182"/>
      <c r="C942" s="182"/>
      <c r="D942" s="182"/>
      <c r="E942" s="182"/>
      <c r="F942" s="182"/>
      <c r="G942" s="263"/>
      <c r="H942" s="182"/>
      <c r="I942" s="182"/>
      <c r="J942" s="182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</row>
    <row r="943">
      <c r="A943" s="182"/>
      <c r="B943" s="182"/>
      <c r="C943" s="182"/>
      <c r="D943" s="182"/>
      <c r="E943" s="182"/>
      <c r="F943" s="182"/>
      <c r="G943" s="263"/>
      <c r="H943" s="182"/>
      <c r="I943" s="182"/>
      <c r="J943" s="182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</row>
    <row r="944">
      <c r="A944" s="182"/>
      <c r="B944" s="182"/>
      <c r="C944" s="182"/>
      <c r="D944" s="182"/>
      <c r="E944" s="182"/>
      <c r="F944" s="182"/>
      <c r="G944" s="263"/>
      <c r="H944" s="182"/>
      <c r="I944" s="182"/>
      <c r="J944" s="182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</row>
    <row r="945">
      <c r="A945" s="182"/>
      <c r="B945" s="182"/>
      <c r="C945" s="182"/>
      <c r="D945" s="182"/>
      <c r="E945" s="182"/>
      <c r="F945" s="182"/>
      <c r="G945" s="263"/>
      <c r="H945" s="182"/>
      <c r="I945" s="182"/>
      <c r="J945" s="182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</row>
    <row r="946">
      <c r="A946" s="182"/>
      <c r="B946" s="182"/>
      <c r="C946" s="182"/>
      <c r="D946" s="182"/>
      <c r="E946" s="182"/>
      <c r="F946" s="182"/>
      <c r="G946" s="263"/>
      <c r="H946" s="182"/>
      <c r="I946" s="182"/>
      <c r="J946" s="182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</row>
    <row r="947">
      <c r="A947" s="182"/>
      <c r="B947" s="182"/>
      <c r="C947" s="182"/>
      <c r="D947" s="182"/>
      <c r="E947" s="182"/>
      <c r="F947" s="182"/>
      <c r="G947" s="263"/>
      <c r="H947" s="182"/>
      <c r="I947" s="182"/>
      <c r="J947" s="182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</row>
    <row r="948">
      <c r="A948" s="182"/>
      <c r="B948" s="182"/>
      <c r="C948" s="182"/>
      <c r="D948" s="182"/>
      <c r="E948" s="182"/>
      <c r="F948" s="182"/>
      <c r="G948" s="263"/>
      <c r="H948" s="182"/>
      <c r="I948" s="182"/>
      <c r="J948" s="182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</row>
    <row r="949">
      <c r="A949" s="182"/>
      <c r="B949" s="182"/>
      <c r="C949" s="182"/>
      <c r="D949" s="182"/>
      <c r="E949" s="182"/>
      <c r="F949" s="182"/>
      <c r="G949" s="263"/>
      <c r="H949" s="182"/>
      <c r="I949" s="182"/>
      <c r="J949" s="182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</row>
    <row r="950">
      <c r="A950" s="182"/>
      <c r="B950" s="182"/>
      <c r="C950" s="182"/>
      <c r="D950" s="182"/>
      <c r="E950" s="182"/>
      <c r="F950" s="182"/>
      <c r="G950" s="263"/>
      <c r="H950" s="182"/>
      <c r="I950" s="182"/>
      <c r="J950" s="182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</row>
    <row r="951">
      <c r="A951" s="182"/>
      <c r="B951" s="182"/>
      <c r="C951" s="182"/>
      <c r="D951" s="182"/>
      <c r="E951" s="182"/>
      <c r="F951" s="182"/>
      <c r="G951" s="263"/>
      <c r="H951" s="182"/>
      <c r="I951" s="182"/>
      <c r="J951" s="182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</row>
    <row r="952">
      <c r="A952" s="182"/>
      <c r="B952" s="182"/>
      <c r="C952" s="182"/>
      <c r="D952" s="182"/>
      <c r="E952" s="182"/>
      <c r="F952" s="182"/>
      <c r="G952" s="263"/>
      <c r="H952" s="182"/>
      <c r="I952" s="182"/>
      <c r="J952" s="182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</row>
    <row r="953">
      <c r="A953" s="182"/>
      <c r="B953" s="182"/>
      <c r="C953" s="182"/>
      <c r="D953" s="182"/>
      <c r="E953" s="182"/>
      <c r="F953" s="182"/>
      <c r="G953" s="263"/>
      <c r="H953" s="182"/>
      <c r="I953" s="182"/>
      <c r="J953" s="182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</row>
    <row r="954">
      <c r="A954" s="182"/>
      <c r="B954" s="182"/>
      <c r="C954" s="182"/>
      <c r="D954" s="182"/>
      <c r="E954" s="182"/>
      <c r="F954" s="182"/>
      <c r="G954" s="263"/>
      <c r="H954" s="182"/>
      <c r="I954" s="182"/>
      <c r="J954" s="182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</row>
    <row r="955">
      <c r="A955" s="182"/>
      <c r="B955" s="182"/>
      <c r="C955" s="182"/>
      <c r="D955" s="182"/>
      <c r="E955" s="182"/>
      <c r="F955" s="182"/>
      <c r="G955" s="263"/>
      <c r="H955" s="182"/>
      <c r="I955" s="182"/>
      <c r="J955" s="182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</row>
    <row r="956">
      <c r="A956" s="182"/>
      <c r="B956" s="182"/>
      <c r="C956" s="182"/>
      <c r="D956" s="182"/>
      <c r="E956" s="182"/>
      <c r="F956" s="182"/>
      <c r="G956" s="263"/>
      <c r="H956" s="182"/>
      <c r="I956" s="182"/>
      <c r="J956" s="182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</row>
    <row r="957">
      <c r="A957" s="182"/>
      <c r="B957" s="182"/>
      <c r="C957" s="182"/>
      <c r="D957" s="182"/>
      <c r="E957" s="182"/>
      <c r="F957" s="182"/>
      <c r="G957" s="263"/>
      <c r="H957" s="182"/>
      <c r="I957" s="182"/>
      <c r="J957" s="182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</row>
    <row r="958">
      <c r="A958" s="182"/>
      <c r="B958" s="182"/>
      <c r="C958" s="182"/>
      <c r="D958" s="182"/>
      <c r="E958" s="182"/>
      <c r="F958" s="182"/>
      <c r="G958" s="263"/>
      <c r="H958" s="182"/>
      <c r="I958" s="182"/>
      <c r="J958" s="182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</row>
    <row r="959">
      <c r="A959" s="182"/>
      <c r="B959" s="182"/>
      <c r="C959" s="182"/>
      <c r="D959" s="182"/>
      <c r="E959" s="182"/>
      <c r="F959" s="182"/>
      <c r="G959" s="263"/>
      <c r="H959" s="182"/>
      <c r="I959" s="182"/>
      <c r="J959" s="182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</row>
    <row r="960">
      <c r="A960" s="182"/>
      <c r="B960" s="182"/>
      <c r="C960" s="182"/>
      <c r="D960" s="182"/>
      <c r="E960" s="182"/>
      <c r="F960" s="182"/>
      <c r="G960" s="263"/>
      <c r="H960" s="182"/>
      <c r="I960" s="182"/>
      <c r="J960" s="182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</row>
    <row r="961">
      <c r="A961" s="182"/>
      <c r="B961" s="182"/>
      <c r="C961" s="182"/>
      <c r="D961" s="182"/>
      <c r="E961" s="182"/>
      <c r="F961" s="182"/>
      <c r="G961" s="263"/>
      <c r="H961" s="182"/>
      <c r="I961" s="182"/>
      <c r="J961" s="182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</row>
    <row r="962">
      <c r="A962" s="182"/>
      <c r="B962" s="182"/>
      <c r="C962" s="182"/>
      <c r="D962" s="182"/>
      <c r="E962" s="182"/>
      <c r="F962" s="182"/>
      <c r="G962" s="263"/>
      <c r="H962" s="182"/>
      <c r="I962" s="182"/>
      <c r="J962" s="182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</row>
    <row r="963">
      <c r="A963" s="182"/>
      <c r="B963" s="182"/>
      <c r="C963" s="182"/>
      <c r="D963" s="182"/>
      <c r="E963" s="182"/>
      <c r="F963" s="182"/>
      <c r="G963" s="263"/>
      <c r="H963" s="182"/>
      <c r="I963" s="182"/>
      <c r="J963" s="182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</row>
    <row r="964">
      <c r="A964" s="182"/>
      <c r="B964" s="182"/>
      <c r="C964" s="182"/>
      <c r="D964" s="182"/>
      <c r="E964" s="182"/>
      <c r="F964" s="182"/>
      <c r="G964" s="263"/>
      <c r="H964" s="182"/>
      <c r="I964" s="182"/>
      <c r="J964" s="182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</row>
    <row r="965">
      <c r="A965" s="182"/>
      <c r="B965" s="182"/>
      <c r="C965" s="182"/>
      <c r="D965" s="182"/>
      <c r="E965" s="182"/>
      <c r="F965" s="182"/>
      <c r="G965" s="263"/>
      <c r="H965" s="182"/>
      <c r="I965" s="182"/>
      <c r="J965" s="182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</row>
    <row r="966">
      <c r="A966" s="182"/>
      <c r="B966" s="182"/>
      <c r="C966" s="182"/>
      <c r="D966" s="182"/>
      <c r="E966" s="182"/>
      <c r="F966" s="182"/>
      <c r="G966" s="263"/>
      <c r="H966" s="182"/>
      <c r="I966" s="182"/>
      <c r="J966" s="182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</row>
    <row r="967">
      <c r="A967" s="182"/>
      <c r="B967" s="182"/>
      <c r="C967" s="182"/>
      <c r="D967" s="182"/>
      <c r="E967" s="182"/>
      <c r="F967" s="182"/>
      <c r="G967" s="263"/>
      <c r="H967" s="182"/>
      <c r="I967" s="182"/>
      <c r="J967" s="182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</row>
    <row r="968">
      <c r="A968" s="182"/>
      <c r="B968" s="182"/>
      <c r="C968" s="182"/>
      <c r="D968" s="182"/>
      <c r="E968" s="182"/>
      <c r="F968" s="182"/>
      <c r="G968" s="263"/>
      <c r="H968" s="182"/>
      <c r="I968" s="182"/>
      <c r="J968" s="182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</row>
    <row r="969">
      <c r="A969" s="182"/>
      <c r="B969" s="182"/>
      <c r="C969" s="182"/>
      <c r="D969" s="182"/>
      <c r="E969" s="182"/>
      <c r="F969" s="182"/>
      <c r="G969" s="263"/>
      <c r="H969" s="182"/>
      <c r="I969" s="182"/>
      <c r="J969" s="182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</row>
    <row r="970">
      <c r="A970" s="182"/>
      <c r="B970" s="182"/>
      <c r="C970" s="182"/>
      <c r="D970" s="182"/>
      <c r="E970" s="182"/>
      <c r="F970" s="182"/>
      <c r="G970" s="263"/>
      <c r="H970" s="182"/>
      <c r="I970" s="182"/>
      <c r="J970" s="182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</row>
    <row r="971">
      <c r="A971" s="182"/>
      <c r="B971" s="182"/>
      <c r="C971" s="182"/>
      <c r="D971" s="182"/>
      <c r="E971" s="182"/>
      <c r="F971" s="182"/>
      <c r="G971" s="263"/>
      <c r="H971" s="182"/>
      <c r="I971" s="182"/>
      <c r="J971" s="182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</row>
    <row r="972">
      <c r="A972" s="182"/>
      <c r="B972" s="182"/>
      <c r="C972" s="182"/>
      <c r="D972" s="182"/>
      <c r="E972" s="182"/>
      <c r="F972" s="182"/>
      <c r="G972" s="263"/>
      <c r="H972" s="182"/>
      <c r="I972" s="182"/>
      <c r="J972" s="182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</row>
    <row r="973">
      <c r="A973" s="182"/>
      <c r="B973" s="182"/>
      <c r="C973" s="182"/>
      <c r="D973" s="182"/>
      <c r="E973" s="182"/>
      <c r="F973" s="182"/>
      <c r="G973" s="263"/>
      <c r="H973" s="182"/>
      <c r="I973" s="182"/>
      <c r="J973" s="182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</row>
    <row r="974">
      <c r="A974" s="182"/>
      <c r="B974" s="182"/>
      <c r="C974" s="182"/>
      <c r="D974" s="182"/>
      <c r="E974" s="182"/>
      <c r="F974" s="182"/>
      <c r="G974" s="263"/>
      <c r="H974" s="182"/>
      <c r="I974" s="182"/>
      <c r="J974" s="182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</row>
    <row r="975">
      <c r="A975" s="182"/>
      <c r="B975" s="182"/>
      <c r="C975" s="182"/>
      <c r="D975" s="182"/>
      <c r="E975" s="182"/>
      <c r="F975" s="182"/>
      <c r="G975" s="263"/>
      <c r="H975" s="182"/>
      <c r="I975" s="182"/>
      <c r="J975" s="182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</row>
    <row r="976">
      <c r="A976" s="182"/>
      <c r="B976" s="182"/>
      <c r="C976" s="182"/>
      <c r="D976" s="182"/>
      <c r="E976" s="182"/>
      <c r="F976" s="182"/>
      <c r="G976" s="263"/>
      <c r="H976" s="182"/>
      <c r="I976" s="182"/>
      <c r="J976" s="182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</row>
    <row r="977">
      <c r="A977" s="182"/>
      <c r="B977" s="182"/>
      <c r="C977" s="182"/>
      <c r="D977" s="182"/>
      <c r="E977" s="182"/>
      <c r="F977" s="182"/>
      <c r="G977" s="263"/>
      <c r="H977" s="182"/>
      <c r="I977" s="182"/>
      <c r="J977" s="182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</row>
    <row r="978">
      <c r="A978" s="182"/>
      <c r="B978" s="182"/>
      <c r="C978" s="182"/>
      <c r="D978" s="182"/>
      <c r="E978" s="182"/>
      <c r="F978" s="182"/>
      <c r="G978" s="263"/>
      <c r="H978" s="182"/>
      <c r="I978" s="182"/>
      <c r="J978" s="182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</row>
    <row r="979">
      <c r="A979" s="182"/>
      <c r="B979" s="182"/>
      <c r="C979" s="182"/>
      <c r="D979" s="182"/>
      <c r="E979" s="182"/>
      <c r="F979" s="182"/>
      <c r="G979" s="263"/>
      <c r="H979" s="182"/>
      <c r="I979" s="182"/>
      <c r="J979" s="182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</row>
    <row r="980">
      <c r="A980" s="182"/>
      <c r="B980" s="182"/>
      <c r="C980" s="182"/>
      <c r="D980" s="182"/>
      <c r="E980" s="182"/>
      <c r="F980" s="182"/>
      <c r="G980" s="263"/>
      <c r="H980" s="182"/>
      <c r="I980" s="182"/>
      <c r="J980" s="182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</row>
    <row r="981">
      <c r="A981" s="182"/>
      <c r="B981" s="182"/>
      <c r="C981" s="182"/>
      <c r="D981" s="182"/>
      <c r="E981" s="182"/>
      <c r="F981" s="182"/>
      <c r="G981" s="263"/>
      <c r="H981" s="182"/>
      <c r="I981" s="182"/>
      <c r="J981" s="182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</row>
    <row r="982">
      <c r="A982" s="182"/>
      <c r="B982" s="182"/>
      <c r="C982" s="182"/>
      <c r="D982" s="182"/>
      <c r="E982" s="182"/>
      <c r="F982" s="182"/>
      <c r="G982" s="263"/>
      <c r="H982" s="182"/>
      <c r="I982" s="182"/>
      <c r="J982" s="182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</row>
    <row r="983">
      <c r="A983" s="182"/>
      <c r="B983" s="182"/>
      <c r="C983" s="182"/>
      <c r="D983" s="182"/>
      <c r="E983" s="182"/>
      <c r="F983" s="182"/>
      <c r="G983" s="263"/>
      <c r="H983" s="182"/>
      <c r="I983" s="182"/>
      <c r="J983" s="182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</row>
    <row r="984">
      <c r="A984" s="182"/>
      <c r="B984" s="182"/>
      <c r="C984" s="182"/>
      <c r="D984" s="182"/>
      <c r="E984" s="182"/>
      <c r="F984" s="182"/>
      <c r="G984" s="263"/>
      <c r="H984" s="182"/>
      <c r="I984" s="182"/>
      <c r="J984" s="182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</row>
    <row r="985">
      <c r="A985" s="182"/>
      <c r="B985" s="182"/>
      <c r="C985" s="182"/>
      <c r="D985" s="182"/>
      <c r="E985" s="182"/>
      <c r="F985" s="182"/>
      <c r="G985" s="263"/>
      <c r="H985" s="182"/>
      <c r="I985" s="182"/>
      <c r="J985" s="182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</row>
    <row r="986">
      <c r="A986" s="182"/>
      <c r="B986" s="182"/>
      <c r="C986" s="182"/>
      <c r="D986" s="182"/>
      <c r="E986" s="182"/>
      <c r="F986" s="182"/>
      <c r="G986" s="263"/>
      <c r="H986" s="182"/>
      <c r="I986" s="182"/>
      <c r="J986" s="182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</row>
    <row r="987">
      <c r="A987" s="182"/>
      <c r="B987" s="182"/>
      <c r="C987" s="182"/>
      <c r="D987" s="182"/>
      <c r="E987" s="182"/>
      <c r="F987" s="182"/>
      <c r="G987" s="263"/>
      <c r="H987" s="182"/>
      <c r="I987" s="182"/>
      <c r="J987" s="182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</row>
    <row r="988">
      <c r="A988" s="182"/>
      <c r="B988" s="182"/>
      <c r="C988" s="182"/>
      <c r="D988" s="182"/>
      <c r="E988" s="182"/>
      <c r="F988" s="182"/>
      <c r="G988" s="263"/>
      <c r="H988" s="182"/>
      <c r="I988" s="182"/>
      <c r="J988" s="182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</row>
    <row r="989">
      <c r="A989" s="182"/>
      <c r="B989" s="182"/>
      <c r="C989" s="182"/>
      <c r="D989" s="182"/>
      <c r="E989" s="182"/>
      <c r="F989" s="182"/>
      <c r="G989" s="263"/>
      <c r="H989" s="182"/>
      <c r="I989" s="182"/>
      <c r="J989" s="182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</row>
    <row r="990">
      <c r="A990" s="182"/>
      <c r="B990" s="182"/>
      <c r="C990" s="182"/>
      <c r="D990" s="182"/>
      <c r="E990" s="182"/>
      <c r="F990" s="182"/>
      <c r="G990" s="263"/>
      <c r="H990" s="182"/>
      <c r="I990" s="182"/>
      <c r="J990" s="182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</row>
    <row r="991">
      <c r="A991" s="182"/>
      <c r="B991" s="182"/>
      <c r="C991" s="182"/>
      <c r="D991" s="182"/>
      <c r="E991" s="182"/>
      <c r="F991" s="182"/>
      <c r="G991" s="263"/>
      <c r="H991" s="182"/>
      <c r="I991" s="182"/>
      <c r="J991" s="182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</row>
    <row r="992">
      <c r="A992" s="182"/>
      <c r="B992" s="182"/>
      <c r="C992" s="182"/>
      <c r="D992" s="182"/>
      <c r="E992" s="182"/>
      <c r="F992" s="182"/>
      <c r="G992" s="263"/>
      <c r="H992" s="182"/>
      <c r="I992" s="182"/>
      <c r="J992" s="182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</row>
    <row r="993">
      <c r="A993" s="182"/>
      <c r="B993" s="182"/>
      <c r="C993" s="182"/>
      <c r="D993" s="182"/>
      <c r="E993" s="182"/>
      <c r="F993" s="182"/>
      <c r="G993" s="263"/>
      <c r="H993" s="182"/>
      <c r="I993" s="182"/>
      <c r="J993" s="182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</row>
    <row r="994">
      <c r="A994" s="182"/>
      <c r="B994" s="182"/>
      <c r="C994" s="182"/>
      <c r="D994" s="182"/>
      <c r="E994" s="182"/>
      <c r="F994" s="182"/>
      <c r="G994" s="263"/>
      <c r="H994" s="182"/>
      <c r="I994" s="182"/>
      <c r="J994" s="182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</row>
    <row r="995">
      <c r="A995" s="182"/>
      <c r="B995" s="182"/>
      <c r="C995" s="182"/>
      <c r="D995" s="182"/>
      <c r="E995" s="182"/>
      <c r="F995" s="182"/>
      <c r="G995" s="263"/>
      <c r="H995" s="182"/>
      <c r="I995" s="182"/>
      <c r="J995" s="182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</row>
    <row r="996">
      <c r="A996" s="182"/>
      <c r="B996" s="182"/>
      <c r="C996" s="182"/>
      <c r="D996" s="182"/>
      <c r="E996" s="182"/>
      <c r="F996" s="182"/>
      <c r="G996" s="263"/>
      <c r="H996" s="182"/>
      <c r="I996" s="182"/>
      <c r="J996" s="182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</row>
    <row r="997">
      <c r="A997" s="182"/>
      <c r="B997" s="182"/>
      <c r="C997" s="182"/>
      <c r="D997" s="182"/>
      <c r="E997" s="182"/>
      <c r="F997" s="182"/>
      <c r="G997" s="263"/>
      <c r="H997" s="182"/>
      <c r="I997" s="182"/>
      <c r="J997" s="182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</row>
    <row r="998">
      <c r="A998" s="182"/>
      <c r="B998" s="182"/>
      <c r="C998" s="182"/>
      <c r="D998" s="182"/>
      <c r="E998" s="182"/>
      <c r="F998" s="182"/>
      <c r="G998" s="263"/>
      <c r="H998" s="182"/>
      <c r="I998" s="182"/>
      <c r="J998" s="182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</row>
    <row r="999">
      <c r="A999" s="182"/>
      <c r="B999" s="182"/>
      <c r="C999" s="182"/>
      <c r="D999" s="182"/>
      <c r="E999" s="182"/>
      <c r="F999" s="182"/>
      <c r="G999" s="263"/>
      <c r="H999" s="182"/>
      <c r="I999" s="182"/>
      <c r="J999" s="182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</row>
    <row r="1000">
      <c r="A1000" s="182"/>
      <c r="B1000" s="182"/>
      <c r="C1000" s="182"/>
      <c r="D1000" s="182"/>
      <c r="E1000" s="182"/>
      <c r="F1000" s="182"/>
      <c r="G1000" s="263"/>
      <c r="H1000" s="182"/>
      <c r="I1000" s="182"/>
      <c r="J1000" s="182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</row>
    <row r="1001">
      <c r="A1001" s="182"/>
      <c r="B1001" s="182"/>
      <c r="C1001" s="182"/>
      <c r="D1001" s="182"/>
      <c r="E1001" s="182"/>
      <c r="F1001" s="182"/>
      <c r="G1001" s="263"/>
      <c r="H1001" s="182"/>
      <c r="I1001" s="182"/>
      <c r="J1001" s="182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</row>
    <row r="1002">
      <c r="A1002" s="182"/>
      <c r="B1002" s="182"/>
      <c r="C1002" s="182"/>
      <c r="D1002" s="182"/>
      <c r="E1002" s="182"/>
      <c r="F1002" s="182"/>
      <c r="G1002" s="263"/>
      <c r="H1002" s="182"/>
      <c r="I1002" s="182"/>
      <c r="J1002" s="182"/>
      <c r="K1002" s="182"/>
      <c r="L1002" s="182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</row>
    <row r="1003">
      <c r="A1003" s="182"/>
      <c r="B1003" s="182"/>
      <c r="C1003" s="182"/>
      <c r="D1003" s="182"/>
      <c r="E1003" s="182"/>
      <c r="F1003" s="182"/>
      <c r="G1003" s="263"/>
      <c r="H1003" s="182"/>
      <c r="I1003" s="182"/>
      <c r="J1003" s="182"/>
      <c r="K1003" s="182"/>
      <c r="L1003" s="182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</row>
    <row r="1004">
      <c r="A1004" s="182"/>
      <c r="B1004" s="182"/>
      <c r="C1004" s="182"/>
      <c r="D1004" s="182"/>
      <c r="E1004" s="182"/>
      <c r="F1004" s="182"/>
      <c r="G1004" s="263"/>
      <c r="H1004" s="182"/>
      <c r="I1004" s="182"/>
      <c r="J1004" s="182"/>
      <c r="K1004" s="182"/>
      <c r="L1004" s="182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</row>
    <row r="1005">
      <c r="A1005" s="182"/>
      <c r="B1005" s="182"/>
      <c r="C1005" s="182"/>
      <c r="D1005" s="182"/>
      <c r="E1005" s="182"/>
      <c r="F1005" s="182"/>
      <c r="G1005" s="263"/>
      <c r="H1005" s="182"/>
      <c r="I1005" s="182"/>
      <c r="J1005" s="182"/>
      <c r="K1005" s="182"/>
      <c r="L1005" s="182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</row>
    <row r="1006">
      <c r="A1006" s="182"/>
      <c r="B1006" s="182"/>
      <c r="C1006" s="182"/>
      <c r="D1006" s="182"/>
      <c r="E1006" s="182"/>
      <c r="F1006" s="182"/>
      <c r="G1006" s="263"/>
      <c r="H1006" s="182"/>
      <c r="I1006" s="182"/>
      <c r="J1006" s="182"/>
      <c r="K1006" s="182"/>
      <c r="L1006" s="182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</row>
    <row r="1007">
      <c r="A1007" s="182"/>
      <c r="B1007" s="182"/>
      <c r="C1007" s="182"/>
      <c r="D1007" s="182"/>
      <c r="E1007" s="182"/>
      <c r="F1007" s="182"/>
      <c r="G1007" s="263"/>
      <c r="H1007" s="182"/>
      <c r="I1007" s="182"/>
      <c r="J1007" s="182"/>
      <c r="K1007" s="182"/>
      <c r="L1007" s="182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</row>
    <row r="1008">
      <c r="A1008" s="182"/>
      <c r="B1008" s="182"/>
      <c r="C1008" s="182"/>
      <c r="D1008" s="182"/>
      <c r="E1008" s="182"/>
      <c r="F1008" s="182"/>
      <c r="G1008" s="263"/>
      <c r="H1008" s="182"/>
      <c r="I1008" s="182"/>
      <c r="J1008" s="182"/>
      <c r="K1008" s="182"/>
      <c r="L1008" s="182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</row>
    <row r="1009">
      <c r="A1009" s="182"/>
      <c r="B1009" s="182"/>
      <c r="C1009" s="182"/>
      <c r="D1009" s="182"/>
      <c r="E1009" s="182"/>
      <c r="F1009" s="182"/>
      <c r="G1009" s="263"/>
      <c r="H1009" s="182"/>
      <c r="I1009" s="182"/>
      <c r="J1009" s="182"/>
      <c r="K1009" s="182"/>
      <c r="L1009" s="182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</row>
    <row r="1010">
      <c r="A1010" s="182"/>
      <c r="B1010" s="182"/>
      <c r="C1010" s="182"/>
      <c r="D1010" s="182"/>
      <c r="E1010" s="182"/>
      <c r="F1010" s="182"/>
      <c r="G1010" s="263"/>
      <c r="H1010" s="182"/>
      <c r="I1010" s="182"/>
      <c r="J1010" s="182"/>
      <c r="K1010" s="182"/>
      <c r="L1010" s="182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</row>
    <row r="1011">
      <c r="A1011" s="182"/>
      <c r="B1011" s="182"/>
      <c r="C1011" s="182"/>
      <c r="D1011" s="182"/>
      <c r="E1011" s="182"/>
      <c r="F1011" s="182"/>
      <c r="G1011" s="263"/>
      <c r="H1011" s="182"/>
      <c r="I1011" s="182"/>
      <c r="J1011" s="182"/>
      <c r="K1011" s="182"/>
      <c r="L1011" s="182"/>
      <c r="M1011" s="182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2"/>
      <c r="Y1011" s="182"/>
      <c r="Z1011" s="182"/>
    </row>
    <row r="1012">
      <c r="A1012" s="182"/>
      <c r="B1012" s="182"/>
      <c r="C1012" s="182"/>
      <c r="D1012" s="182"/>
      <c r="E1012" s="182"/>
      <c r="F1012" s="182"/>
      <c r="G1012" s="263"/>
      <c r="H1012" s="182"/>
      <c r="I1012" s="182"/>
      <c r="J1012" s="182"/>
      <c r="K1012" s="182"/>
      <c r="L1012" s="182"/>
      <c r="M1012" s="182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2"/>
      <c r="Y1012" s="182"/>
      <c r="Z1012" s="182"/>
    </row>
    <row r="1013">
      <c r="A1013" s="182"/>
      <c r="B1013" s="182"/>
      <c r="C1013" s="182"/>
      <c r="D1013" s="182"/>
      <c r="E1013" s="182"/>
      <c r="F1013" s="182"/>
      <c r="G1013" s="263"/>
      <c r="H1013" s="182"/>
      <c r="I1013" s="182"/>
      <c r="J1013" s="182"/>
      <c r="K1013" s="182"/>
      <c r="L1013" s="182"/>
      <c r="M1013" s="182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2"/>
      <c r="Y1013" s="182"/>
      <c r="Z1013" s="182"/>
    </row>
    <row r="1014">
      <c r="A1014" s="182"/>
      <c r="B1014" s="182"/>
      <c r="C1014" s="182"/>
      <c r="D1014" s="182"/>
      <c r="E1014" s="182"/>
      <c r="F1014" s="182"/>
      <c r="G1014" s="263"/>
      <c r="H1014" s="182"/>
      <c r="I1014" s="182"/>
      <c r="J1014" s="182"/>
      <c r="K1014" s="182"/>
      <c r="L1014" s="182"/>
      <c r="M1014" s="182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2"/>
      <c r="Y1014" s="182"/>
      <c r="Z1014" s="182"/>
    </row>
    <row r="1015">
      <c r="A1015" s="182"/>
      <c r="B1015" s="182"/>
      <c r="C1015" s="182"/>
      <c r="D1015" s="182"/>
      <c r="E1015" s="182"/>
      <c r="F1015" s="182"/>
      <c r="G1015" s="263"/>
      <c r="H1015" s="182"/>
      <c r="I1015" s="182"/>
      <c r="J1015" s="182"/>
      <c r="K1015" s="182"/>
      <c r="L1015" s="182"/>
      <c r="M1015" s="182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2"/>
      <c r="Y1015" s="182"/>
      <c r="Z1015" s="182"/>
    </row>
    <row r="1016">
      <c r="A1016" s="182"/>
      <c r="B1016" s="182"/>
      <c r="C1016" s="182"/>
      <c r="D1016" s="182"/>
      <c r="E1016" s="182"/>
      <c r="F1016" s="182"/>
      <c r="G1016" s="263"/>
      <c r="H1016" s="182"/>
      <c r="I1016" s="182"/>
      <c r="J1016" s="182"/>
      <c r="K1016" s="182"/>
      <c r="L1016" s="182"/>
      <c r="M1016" s="182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2"/>
      <c r="Y1016" s="182"/>
      <c r="Z1016" s="182"/>
    </row>
    <row r="1017">
      <c r="A1017" s="182"/>
      <c r="B1017" s="182"/>
      <c r="C1017" s="182"/>
      <c r="D1017" s="182"/>
      <c r="E1017" s="182"/>
      <c r="F1017" s="182"/>
      <c r="G1017" s="263"/>
      <c r="H1017" s="182"/>
      <c r="I1017" s="182"/>
      <c r="J1017" s="182"/>
      <c r="K1017" s="182"/>
      <c r="L1017" s="182"/>
      <c r="M1017" s="182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2"/>
      <c r="Y1017" s="182"/>
      <c r="Z1017" s="182"/>
    </row>
    <row r="1018">
      <c r="A1018" s="182"/>
      <c r="B1018" s="182"/>
      <c r="C1018" s="182"/>
      <c r="D1018" s="182"/>
      <c r="E1018" s="182"/>
      <c r="F1018" s="182"/>
      <c r="G1018" s="263"/>
      <c r="H1018" s="182"/>
      <c r="I1018" s="182"/>
      <c r="J1018" s="182"/>
      <c r="K1018" s="182"/>
      <c r="L1018" s="182"/>
      <c r="M1018" s="182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2"/>
      <c r="Y1018" s="182"/>
      <c r="Z1018" s="182"/>
    </row>
    <row r="1019">
      <c r="A1019" s="182"/>
      <c r="B1019" s="182"/>
      <c r="C1019" s="182"/>
      <c r="D1019" s="182"/>
      <c r="E1019" s="182"/>
      <c r="F1019" s="182"/>
      <c r="G1019" s="263"/>
      <c r="H1019" s="182"/>
      <c r="I1019" s="182"/>
      <c r="J1019" s="182"/>
      <c r="K1019" s="182"/>
      <c r="L1019" s="182"/>
      <c r="M1019" s="182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2"/>
      <c r="Y1019" s="182"/>
      <c r="Z1019" s="182"/>
    </row>
    <row r="1020">
      <c r="A1020" s="182"/>
      <c r="B1020" s="182"/>
      <c r="C1020" s="182"/>
      <c r="D1020" s="182"/>
      <c r="E1020" s="182"/>
      <c r="F1020" s="182"/>
      <c r="G1020" s="263"/>
      <c r="H1020" s="182"/>
      <c r="I1020" s="182"/>
      <c r="J1020" s="182"/>
      <c r="K1020" s="182"/>
      <c r="L1020" s="182"/>
      <c r="M1020" s="182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2"/>
      <c r="Y1020" s="182"/>
      <c r="Z1020" s="182"/>
    </row>
    <row r="1021">
      <c r="A1021" s="182"/>
      <c r="B1021" s="182"/>
      <c r="C1021" s="182"/>
      <c r="D1021" s="182"/>
      <c r="E1021" s="182"/>
      <c r="F1021" s="182"/>
      <c r="G1021" s="263"/>
      <c r="H1021" s="182"/>
      <c r="I1021" s="182"/>
      <c r="J1021" s="182"/>
      <c r="K1021" s="182"/>
      <c r="L1021" s="182"/>
      <c r="M1021" s="182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2"/>
      <c r="Y1021" s="182"/>
      <c r="Z1021" s="182"/>
    </row>
    <row r="1022">
      <c r="A1022" s="182"/>
      <c r="B1022" s="182"/>
      <c r="C1022" s="182"/>
      <c r="D1022" s="182"/>
      <c r="E1022" s="182"/>
      <c r="F1022" s="182"/>
      <c r="G1022" s="263"/>
      <c r="H1022" s="182"/>
      <c r="I1022" s="182"/>
      <c r="J1022" s="182"/>
      <c r="K1022" s="182"/>
      <c r="L1022" s="182"/>
      <c r="M1022" s="18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</row>
    <row r="1023">
      <c r="A1023" s="182"/>
      <c r="B1023" s="182"/>
      <c r="C1023" s="182"/>
      <c r="D1023" s="182"/>
      <c r="E1023" s="182"/>
      <c r="F1023" s="182"/>
      <c r="G1023" s="263"/>
      <c r="H1023" s="182"/>
      <c r="I1023" s="182"/>
      <c r="J1023" s="182"/>
      <c r="K1023" s="182"/>
      <c r="L1023" s="182"/>
      <c r="M1023" s="182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2"/>
      <c r="Y1023" s="182"/>
      <c r="Z1023" s="182"/>
    </row>
    <row r="1024">
      <c r="A1024" s="182"/>
      <c r="B1024" s="182"/>
      <c r="C1024" s="182"/>
      <c r="D1024" s="182"/>
      <c r="E1024" s="182"/>
      <c r="F1024" s="182"/>
      <c r="G1024" s="263"/>
      <c r="H1024" s="182"/>
      <c r="I1024" s="182"/>
      <c r="J1024" s="182"/>
      <c r="K1024" s="182"/>
      <c r="L1024" s="182"/>
      <c r="M1024" s="182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2"/>
      <c r="Y1024" s="182"/>
      <c r="Z1024" s="182"/>
    </row>
    <row r="1025">
      <c r="A1025" s="182"/>
      <c r="B1025" s="182"/>
      <c r="C1025" s="182"/>
      <c r="D1025" s="182"/>
      <c r="E1025" s="182"/>
      <c r="F1025" s="182"/>
      <c r="G1025" s="263"/>
      <c r="H1025" s="182"/>
      <c r="I1025" s="182"/>
      <c r="J1025" s="182"/>
      <c r="K1025" s="182"/>
      <c r="L1025" s="182"/>
      <c r="M1025" s="182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2"/>
      <c r="Y1025" s="182"/>
      <c r="Z1025" s="182"/>
    </row>
    <row r="1026">
      <c r="A1026" s="182"/>
      <c r="B1026" s="182"/>
      <c r="C1026" s="182"/>
      <c r="D1026" s="182"/>
      <c r="E1026" s="182"/>
      <c r="F1026" s="182"/>
      <c r="G1026" s="263"/>
      <c r="H1026" s="182"/>
      <c r="I1026" s="182"/>
      <c r="J1026" s="182"/>
      <c r="K1026" s="182"/>
      <c r="L1026" s="182"/>
      <c r="M1026" s="182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</row>
    <row r="1027">
      <c r="A1027" s="182"/>
      <c r="B1027" s="182"/>
      <c r="C1027" s="182"/>
      <c r="D1027" s="182"/>
      <c r="E1027" s="182"/>
      <c r="F1027" s="182"/>
      <c r="G1027" s="263"/>
      <c r="H1027" s="182"/>
      <c r="I1027" s="182"/>
      <c r="J1027" s="182"/>
      <c r="K1027" s="182"/>
      <c r="L1027" s="182"/>
      <c r="M1027" s="182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2"/>
      <c r="Y1027" s="182"/>
      <c r="Z1027" s="182"/>
    </row>
    <row r="1028">
      <c r="A1028" s="182"/>
      <c r="B1028" s="182"/>
      <c r="C1028" s="182"/>
      <c r="D1028" s="182"/>
      <c r="E1028" s="182"/>
      <c r="F1028" s="182"/>
      <c r="G1028" s="263"/>
      <c r="H1028" s="182"/>
      <c r="I1028" s="182"/>
      <c r="J1028" s="182"/>
      <c r="K1028" s="182"/>
      <c r="L1028" s="182"/>
      <c r="M1028" s="182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2"/>
      <c r="Y1028" s="182"/>
      <c r="Z1028" s="182"/>
    </row>
    <row r="1029">
      <c r="A1029" s="182"/>
      <c r="B1029" s="182"/>
      <c r="C1029" s="182"/>
      <c r="D1029" s="182"/>
      <c r="E1029" s="182"/>
      <c r="F1029" s="182"/>
      <c r="G1029" s="263"/>
      <c r="H1029" s="182"/>
      <c r="I1029" s="182"/>
      <c r="J1029" s="182"/>
      <c r="K1029" s="182"/>
      <c r="L1029" s="182"/>
      <c r="M1029" s="182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2"/>
      <c r="Y1029" s="182"/>
      <c r="Z1029" s="182"/>
    </row>
    <row r="1030">
      <c r="A1030" s="182"/>
      <c r="B1030" s="182"/>
      <c r="C1030" s="182"/>
      <c r="D1030" s="182"/>
      <c r="E1030" s="182"/>
      <c r="F1030" s="182"/>
      <c r="G1030" s="263"/>
      <c r="H1030" s="182"/>
      <c r="I1030" s="182"/>
      <c r="J1030" s="182"/>
      <c r="K1030" s="182"/>
      <c r="L1030" s="182"/>
      <c r="M1030" s="182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2"/>
      <c r="Y1030" s="182"/>
      <c r="Z1030" s="182"/>
    </row>
    <row r="1031">
      <c r="A1031" s="182"/>
      <c r="B1031" s="182"/>
      <c r="C1031" s="182"/>
      <c r="D1031" s="182"/>
      <c r="E1031" s="182"/>
      <c r="F1031" s="182"/>
      <c r="G1031" s="263"/>
      <c r="H1031" s="182"/>
      <c r="I1031" s="182"/>
      <c r="J1031" s="182"/>
      <c r="K1031" s="182"/>
      <c r="L1031" s="182"/>
      <c r="M1031" s="182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2"/>
      <c r="Y1031" s="182"/>
      <c r="Z1031" s="182"/>
    </row>
    <row r="1032">
      <c r="A1032" s="182"/>
      <c r="B1032" s="182"/>
      <c r="C1032" s="182"/>
      <c r="D1032" s="182"/>
      <c r="E1032" s="182"/>
      <c r="F1032" s="182"/>
      <c r="G1032" s="263"/>
      <c r="H1032" s="182"/>
      <c r="I1032" s="182"/>
      <c r="J1032" s="182"/>
      <c r="K1032" s="182"/>
      <c r="L1032" s="182"/>
      <c r="M1032" s="182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2"/>
      <c r="Y1032" s="182"/>
      <c r="Z1032" s="182"/>
    </row>
    <row r="1033">
      <c r="A1033" s="182"/>
      <c r="B1033" s="182"/>
      <c r="C1033" s="182"/>
      <c r="D1033" s="182"/>
      <c r="E1033" s="182"/>
      <c r="F1033" s="182"/>
      <c r="G1033" s="263"/>
      <c r="H1033" s="182"/>
      <c r="I1033" s="182"/>
      <c r="J1033" s="182"/>
      <c r="K1033" s="182"/>
      <c r="L1033" s="182"/>
      <c r="M1033" s="182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2"/>
      <c r="Y1033" s="182"/>
      <c r="Z1033" s="182"/>
    </row>
    <row r="1034">
      <c r="A1034" s="182"/>
      <c r="B1034" s="182"/>
      <c r="C1034" s="182"/>
      <c r="D1034" s="182"/>
      <c r="E1034" s="182"/>
      <c r="F1034" s="182"/>
      <c r="G1034" s="263"/>
      <c r="H1034" s="182"/>
      <c r="I1034" s="182"/>
      <c r="J1034" s="182"/>
      <c r="K1034" s="182"/>
      <c r="L1034" s="182"/>
      <c r="M1034" s="182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2"/>
      <c r="Y1034" s="182"/>
      <c r="Z1034" s="182"/>
    </row>
    <row r="1035">
      <c r="A1035" s="182"/>
      <c r="B1035" s="182"/>
      <c r="C1035" s="182"/>
      <c r="D1035" s="182"/>
      <c r="E1035" s="182"/>
      <c r="F1035" s="182"/>
      <c r="G1035" s="263"/>
      <c r="H1035" s="182"/>
      <c r="I1035" s="182"/>
      <c r="J1035" s="182"/>
      <c r="K1035" s="182"/>
      <c r="L1035" s="182"/>
      <c r="M1035" s="182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2"/>
      <c r="Y1035" s="182"/>
      <c r="Z1035" s="182"/>
    </row>
    <row r="1036">
      <c r="A1036" s="182"/>
      <c r="B1036" s="182"/>
      <c r="C1036" s="182"/>
      <c r="D1036" s="182"/>
      <c r="E1036" s="182"/>
      <c r="F1036" s="182"/>
      <c r="G1036" s="263"/>
      <c r="H1036" s="182"/>
      <c r="I1036" s="182"/>
      <c r="J1036" s="182"/>
      <c r="K1036" s="182"/>
      <c r="L1036" s="182"/>
      <c r="M1036" s="182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2"/>
      <c r="Y1036" s="182"/>
      <c r="Z1036" s="182"/>
    </row>
    <row r="1037">
      <c r="A1037" s="182"/>
      <c r="B1037" s="182"/>
      <c r="C1037" s="182"/>
      <c r="D1037" s="182"/>
      <c r="E1037" s="182"/>
      <c r="F1037" s="182"/>
      <c r="G1037" s="263"/>
      <c r="H1037" s="182"/>
      <c r="I1037" s="182"/>
      <c r="J1037" s="182"/>
      <c r="K1037" s="182"/>
      <c r="L1037" s="182"/>
      <c r="M1037" s="182"/>
      <c r="N1037" s="182"/>
      <c r="O1037" s="182"/>
      <c r="P1037" s="182"/>
      <c r="Q1037" s="182"/>
      <c r="R1037" s="182"/>
      <c r="S1037" s="182"/>
      <c r="T1037" s="182"/>
      <c r="U1037" s="182"/>
      <c r="V1037" s="182"/>
      <c r="W1037" s="182"/>
      <c r="X1037" s="182"/>
      <c r="Y1037" s="182"/>
      <c r="Z1037" s="182"/>
    </row>
    <row r="1038">
      <c r="A1038" s="182"/>
      <c r="B1038" s="182"/>
      <c r="C1038" s="182"/>
      <c r="D1038" s="182"/>
      <c r="E1038" s="182"/>
      <c r="F1038" s="182"/>
      <c r="G1038" s="263"/>
      <c r="H1038" s="182"/>
      <c r="I1038" s="182"/>
      <c r="J1038" s="182"/>
      <c r="K1038" s="182"/>
      <c r="L1038" s="182"/>
      <c r="M1038" s="182"/>
      <c r="N1038" s="182"/>
      <c r="O1038" s="182"/>
      <c r="P1038" s="182"/>
      <c r="Q1038" s="182"/>
      <c r="R1038" s="182"/>
      <c r="S1038" s="182"/>
      <c r="T1038" s="182"/>
      <c r="U1038" s="182"/>
      <c r="V1038" s="182"/>
      <c r="W1038" s="182"/>
      <c r="X1038" s="182"/>
      <c r="Y1038" s="182"/>
      <c r="Z1038" s="182"/>
    </row>
    <row r="1039">
      <c r="A1039" s="182"/>
      <c r="B1039" s="182"/>
      <c r="C1039" s="182"/>
      <c r="D1039" s="182"/>
      <c r="E1039" s="182"/>
      <c r="F1039" s="182"/>
      <c r="G1039" s="263"/>
      <c r="H1039" s="182"/>
      <c r="I1039" s="182"/>
      <c r="J1039" s="182"/>
      <c r="K1039" s="182"/>
      <c r="L1039" s="182"/>
      <c r="M1039" s="182"/>
      <c r="N1039" s="182"/>
      <c r="O1039" s="182"/>
      <c r="P1039" s="182"/>
      <c r="Q1039" s="182"/>
      <c r="R1039" s="182"/>
      <c r="S1039" s="182"/>
      <c r="T1039" s="182"/>
      <c r="U1039" s="182"/>
      <c r="V1039" s="182"/>
      <c r="W1039" s="182"/>
      <c r="X1039" s="182"/>
      <c r="Y1039" s="182"/>
      <c r="Z1039" s="182"/>
    </row>
    <row r="1040">
      <c r="A1040" s="182"/>
      <c r="B1040" s="182"/>
      <c r="C1040" s="182"/>
      <c r="D1040" s="182"/>
      <c r="E1040" s="182"/>
      <c r="F1040" s="182"/>
      <c r="G1040" s="263"/>
      <c r="H1040" s="182"/>
      <c r="I1040" s="182"/>
      <c r="J1040" s="182"/>
      <c r="K1040" s="182"/>
      <c r="L1040" s="182"/>
      <c r="M1040" s="182"/>
      <c r="N1040" s="182"/>
      <c r="O1040" s="182"/>
      <c r="P1040" s="182"/>
      <c r="Q1040" s="182"/>
      <c r="R1040" s="182"/>
      <c r="S1040" s="182"/>
      <c r="T1040" s="182"/>
      <c r="U1040" s="182"/>
      <c r="V1040" s="182"/>
      <c r="W1040" s="182"/>
      <c r="X1040" s="182"/>
      <c r="Y1040" s="182"/>
      <c r="Z1040" s="182"/>
    </row>
    <row r="1041">
      <c r="A1041" s="182"/>
      <c r="B1041" s="182"/>
      <c r="C1041" s="182"/>
      <c r="D1041" s="182"/>
      <c r="E1041" s="182"/>
      <c r="F1041" s="182"/>
      <c r="G1041" s="263"/>
      <c r="H1041" s="182"/>
      <c r="I1041" s="182"/>
      <c r="J1041" s="182"/>
      <c r="K1041" s="182"/>
      <c r="L1041" s="182"/>
      <c r="M1041" s="182"/>
      <c r="N1041" s="182"/>
      <c r="O1041" s="182"/>
      <c r="P1041" s="182"/>
      <c r="Q1041" s="182"/>
      <c r="R1041" s="182"/>
      <c r="S1041" s="182"/>
      <c r="T1041" s="182"/>
      <c r="U1041" s="182"/>
      <c r="V1041" s="182"/>
      <c r="W1041" s="182"/>
      <c r="X1041" s="182"/>
      <c r="Y1041" s="182"/>
      <c r="Z1041" s="182"/>
    </row>
    <row r="1042">
      <c r="A1042" s="182"/>
      <c r="B1042" s="182"/>
      <c r="C1042" s="182"/>
      <c r="D1042" s="182"/>
      <c r="E1042" s="182"/>
      <c r="F1042" s="182"/>
      <c r="G1042" s="263"/>
      <c r="H1042" s="182"/>
      <c r="I1042" s="182"/>
      <c r="J1042" s="182"/>
      <c r="K1042" s="182"/>
      <c r="L1042" s="182"/>
      <c r="M1042" s="182"/>
      <c r="N1042" s="182"/>
      <c r="O1042" s="182"/>
      <c r="P1042" s="182"/>
      <c r="Q1042" s="182"/>
      <c r="R1042" s="182"/>
      <c r="S1042" s="182"/>
      <c r="T1042" s="182"/>
      <c r="U1042" s="182"/>
      <c r="V1042" s="182"/>
      <c r="W1042" s="182"/>
      <c r="X1042" s="182"/>
      <c r="Y1042" s="182"/>
      <c r="Z1042" s="182"/>
    </row>
    <row r="1043">
      <c r="A1043" s="182"/>
      <c r="B1043" s="182"/>
      <c r="C1043" s="182"/>
      <c r="D1043" s="182"/>
      <c r="E1043" s="182"/>
      <c r="F1043" s="182"/>
      <c r="G1043" s="263"/>
      <c r="H1043" s="182"/>
      <c r="I1043" s="182"/>
      <c r="J1043" s="182"/>
      <c r="K1043" s="182"/>
      <c r="L1043" s="182"/>
      <c r="M1043" s="182"/>
      <c r="N1043" s="182"/>
      <c r="O1043" s="182"/>
      <c r="P1043" s="182"/>
      <c r="Q1043" s="182"/>
      <c r="R1043" s="182"/>
      <c r="S1043" s="182"/>
      <c r="T1043" s="182"/>
      <c r="U1043" s="182"/>
      <c r="V1043" s="182"/>
      <c r="W1043" s="182"/>
      <c r="X1043" s="182"/>
      <c r="Y1043" s="182"/>
      <c r="Z1043" s="182"/>
    </row>
  </sheetData>
  <mergeCells count="3">
    <mergeCell ref="A1:F1"/>
    <mergeCell ref="B6:F6"/>
    <mergeCell ref="A212:F212"/>
  </mergeCells>
  <drawing r:id="rId1"/>
</worksheet>
</file>